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D5559BF-E770-420A-8ACF-85EF0A4BCBD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Data" sheetId="2" r:id="rId2"/>
    <sheet name="Lists" sheetId="3" state="hidden" r:id="rId3"/>
    <sheet name="PivotDat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1" i="2" l="1"/>
  <c r="L81" i="2"/>
  <c r="P81" i="2" s="1"/>
  <c r="M80" i="2"/>
  <c r="L80" i="2"/>
  <c r="P80" i="2" s="1"/>
  <c r="M79" i="2"/>
  <c r="L79" i="2"/>
  <c r="N79" i="2" s="1"/>
  <c r="P78" i="2"/>
  <c r="O78" i="2"/>
  <c r="M78" i="2"/>
  <c r="L78" i="2"/>
  <c r="N78" i="2" s="1"/>
  <c r="P77" i="2"/>
  <c r="O77" i="2"/>
  <c r="M77" i="2"/>
  <c r="L77" i="2"/>
  <c r="N77" i="2" s="1"/>
  <c r="P76" i="2"/>
  <c r="O76" i="2"/>
  <c r="N76" i="2"/>
  <c r="M76" i="2"/>
  <c r="L76" i="2"/>
  <c r="P75" i="2"/>
  <c r="O75" i="2"/>
  <c r="N75" i="2"/>
  <c r="M75" i="2"/>
  <c r="L75" i="2"/>
  <c r="M74" i="2"/>
  <c r="L74" i="2"/>
  <c r="O74" i="2" s="1"/>
  <c r="P73" i="2"/>
  <c r="M73" i="2"/>
  <c r="L73" i="2"/>
  <c r="O73" i="2" s="1"/>
  <c r="P72" i="2"/>
  <c r="M72" i="2"/>
  <c r="L72" i="2"/>
  <c r="O72" i="2" s="1"/>
  <c r="P71" i="2"/>
  <c r="O71" i="2"/>
  <c r="N71" i="2"/>
  <c r="M71" i="2"/>
  <c r="L71" i="2"/>
  <c r="P70" i="2"/>
  <c r="O70" i="2"/>
  <c r="N70" i="2"/>
  <c r="M70" i="2"/>
  <c r="L70" i="2"/>
  <c r="M69" i="2"/>
  <c r="L69" i="2"/>
  <c r="P69" i="2" s="1"/>
  <c r="M68" i="2"/>
  <c r="L68" i="2"/>
  <c r="P68" i="2" s="1"/>
  <c r="M67" i="2"/>
  <c r="L67" i="2"/>
  <c r="N67" i="2" s="1"/>
  <c r="O66" i="2"/>
  <c r="M66" i="2"/>
  <c r="L66" i="2"/>
  <c r="P66" i="2" s="1"/>
  <c r="P65" i="2"/>
  <c r="O65" i="2"/>
  <c r="M65" i="2"/>
  <c r="L65" i="2"/>
  <c r="N65" i="2" s="1"/>
  <c r="P64" i="2"/>
  <c r="O64" i="2"/>
  <c r="N64" i="2"/>
  <c r="M64" i="2"/>
  <c r="L64" i="2"/>
  <c r="P63" i="2"/>
  <c r="O63" i="2"/>
  <c r="N63" i="2"/>
  <c r="M63" i="2"/>
  <c r="L63" i="2"/>
  <c r="M62" i="2"/>
  <c r="L62" i="2"/>
  <c r="O62" i="2" s="1"/>
  <c r="P61" i="2"/>
  <c r="M61" i="2"/>
  <c r="L61" i="2"/>
  <c r="O61" i="2" s="1"/>
  <c r="P60" i="2"/>
  <c r="M60" i="2"/>
  <c r="L60" i="2"/>
  <c r="O60" i="2" s="1"/>
  <c r="P59" i="2"/>
  <c r="O59" i="2"/>
  <c r="N59" i="2"/>
  <c r="M59" i="2"/>
  <c r="L59" i="2"/>
  <c r="P58" i="2"/>
  <c r="O58" i="2"/>
  <c r="N58" i="2"/>
  <c r="M58" i="2"/>
  <c r="L58" i="2"/>
  <c r="M57" i="2"/>
  <c r="L57" i="2"/>
  <c r="P57" i="2" s="1"/>
  <c r="M56" i="2"/>
  <c r="L56" i="2"/>
  <c r="P56" i="2" s="1"/>
  <c r="M55" i="2"/>
  <c r="L55" i="2"/>
  <c r="N55" i="2" s="1"/>
  <c r="O54" i="2"/>
  <c r="M54" i="2"/>
  <c r="L54" i="2"/>
  <c r="P54" i="2" s="1"/>
  <c r="P53" i="2"/>
  <c r="O53" i="2"/>
  <c r="N53" i="2"/>
  <c r="M53" i="2"/>
  <c r="L53" i="2"/>
  <c r="P52" i="2"/>
  <c r="O52" i="2"/>
  <c r="N52" i="2"/>
  <c r="M52" i="2"/>
  <c r="L52" i="2"/>
  <c r="O51" i="2"/>
  <c r="N51" i="2"/>
  <c r="M51" i="2"/>
  <c r="L51" i="2"/>
  <c r="P51" i="2" s="1"/>
  <c r="M50" i="2"/>
  <c r="L50" i="2"/>
  <c r="O50" i="2" s="1"/>
  <c r="P49" i="2"/>
  <c r="M49" i="2"/>
  <c r="L49" i="2"/>
  <c r="O49" i="2" s="1"/>
  <c r="P48" i="2"/>
  <c r="O48" i="2"/>
  <c r="M48" i="2"/>
  <c r="L48" i="2"/>
  <c r="N48" i="2" s="1"/>
  <c r="P47" i="2"/>
  <c r="O47" i="2"/>
  <c r="N47" i="2"/>
  <c r="M47" i="2"/>
  <c r="L47" i="2"/>
  <c r="P46" i="2"/>
  <c r="O46" i="2"/>
  <c r="N46" i="2"/>
  <c r="M46" i="2"/>
  <c r="L46" i="2"/>
  <c r="M45" i="2"/>
  <c r="L45" i="2"/>
  <c r="P45" i="2" s="1"/>
  <c r="M44" i="2"/>
  <c r="L44" i="2"/>
  <c r="P44" i="2" s="1"/>
  <c r="M43" i="2"/>
  <c r="L43" i="2"/>
  <c r="N43" i="2" s="1"/>
  <c r="O42" i="2"/>
  <c r="M42" i="2"/>
  <c r="L42" i="2"/>
  <c r="P42" i="2" s="1"/>
  <c r="P41" i="2"/>
  <c r="O41" i="2"/>
  <c r="N41" i="2"/>
  <c r="M41" i="2"/>
  <c r="L41" i="2"/>
  <c r="P40" i="2"/>
  <c r="O40" i="2"/>
  <c r="N40" i="2"/>
  <c r="M40" i="2"/>
  <c r="L40" i="2"/>
  <c r="O39" i="2"/>
  <c r="N39" i="2"/>
  <c r="M39" i="2"/>
  <c r="L39" i="2"/>
  <c r="P39" i="2" s="1"/>
  <c r="M38" i="2"/>
  <c r="L38" i="2"/>
  <c r="O38" i="2" s="1"/>
  <c r="P37" i="2"/>
  <c r="M37" i="2"/>
  <c r="L37" i="2"/>
  <c r="O37" i="2" s="1"/>
  <c r="P36" i="2"/>
  <c r="O36" i="2"/>
  <c r="M36" i="2"/>
  <c r="L36" i="2"/>
  <c r="N36" i="2" s="1"/>
  <c r="P35" i="2"/>
  <c r="O35" i="2"/>
  <c r="N35" i="2"/>
  <c r="M35" i="2"/>
  <c r="L35" i="2"/>
  <c r="P34" i="2"/>
  <c r="O34" i="2"/>
  <c r="N34" i="2"/>
  <c r="M34" i="2"/>
  <c r="L34" i="2"/>
  <c r="M33" i="2"/>
  <c r="L33" i="2"/>
  <c r="P33" i="2" s="1"/>
  <c r="M32" i="2"/>
  <c r="L32" i="2"/>
  <c r="P32" i="2" s="1"/>
  <c r="P31" i="2"/>
  <c r="M31" i="2"/>
  <c r="L31" i="2"/>
  <c r="N31" i="2" s="1"/>
  <c r="M30" i="2"/>
  <c r="L30" i="2"/>
  <c r="O30" i="2" s="1"/>
  <c r="P29" i="2"/>
  <c r="O29" i="2"/>
  <c r="N29" i="2"/>
  <c r="M29" i="2"/>
  <c r="L29" i="2"/>
  <c r="P28" i="2"/>
  <c r="O28" i="2"/>
  <c r="N28" i="2"/>
  <c r="M28" i="2"/>
  <c r="L28" i="2"/>
  <c r="O27" i="2"/>
  <c r="N27" i="2"/>
  <c r="M27" i="2"/>
  <c r="L27" i="2"/>
  <c r="P27" i="2" s="1"/>
  <c r="M26" i="2"/>
  <c r="L26" i="2"/>
  <c r="O26" i="2" s="1"/>
  <c r="P25" i="2"/>
  <c r="M25" i="2"/>
  <c r="L25" i="2"/>
  <c r="O25" i="2" s="1"/>
  <c r="P24" i="2"/>
  <c r="O24" i="2"/>
  <c r="M24" i="2"/>
  <c r="L24" i="2"/>
  <c r="N24" i="2" s="1"/>
  <c r="P23" i="2"/>
  <c r="O23" i="2"/>
  <c r="N23" i="2"/>
  <c r="M23" i="2"/>
  <c r="L23" i="2"/>
  <c r="P22" i="2"/>
  <c r="O22" i="2"/>
  <c r="N22" i="2"/>
  <c r="M22" i="2"/>
  <c r="L22" i="2"/>
  <c r="M21" i="2"/>
  <c r="L21" i="2"/>
  <c r="P21" i="2" s="1"/>
  <c r="M20" i="2"/>
  <c r="L20" i="2"/>
  <c r="P20" i="2" s="1"/>
  <c r="P19" i="2"/>
  <c r="M19" i="2"/>
  <c r="L19" i="2"/>
  <c r="N19" i="2" s="1"/>
  <c r="M18" i="2"/>
  <c r="L18" i="2"/>
  <c r="O18" i="2" s="1"/>
  <c r="P17" i="2"/>
  <c r="O17" i="2"/>
  <c r="N17" i="2"/>
  <c r="M17" i="2"/>
  <c r="L17" i="2"/>
  <c r="P16" i="2"/>
  <c r="O16" i="2"/>
  <c r="N16" i="2"/>
  <c r="M16" i="2"/>
  <c r="L16" i="2"/>
  <c r="O15" i="2"/>
  <c r="N15" i="2"/>
  <c r="M15" i="2"/>
  <c r="L15" i="2"/>
  <c r="P15" i="2" s="1"/>
  <c r="M14" i="2"/>
  <c r="L14" i="2"/>
  <c r="O14" i="2" s="1"/>
  <c r="P13" i="2"/>
  <c r="M13" i="2"/>
  <c r="L13" i="2"/>
  <c r="O13" i="2" s="1"/>
  <c r="P12" i="2"/>
  <c r="O12" i="2"/>
  <c r="M12" i="2"/>
  <c r="L12" i="2"/>
  <c r="N12" i="2" s="1"/>
  <c r="P11" i="2"/>
  <c r="O11" i="2"/>
  <c r="N11" i="2"/>
  <c r="M11" i="2"/>
  <c r="L11" i="2"/>
  <c r="P10" i="2"/>
  <c r="O10" i="2"/>
  <c r="N10" i="2"/>
  <c r="M10" i="2"/>
  <c r="L10" i="2"/>
  <c r="M9" i="2"/>
  <c r="L9" i="2"/>
  <c r="P9" i="2" s="1"/>
  <c r="M8" i="2"/>
  <c r="L8" i="2"/>
  <c r="P8" i="2" s="1"/>
  <c r="P7" i="2"/>
  <c r="M7" i="2"/>
  <c r="L7" i="2"/>
  <c r="N7" i="2" s="1"/>
  <c r="M6" i="2"/>
  <c r="L6" i="2"/>
  <c r="O6" i="2" s="1"/>
  <c r="P5" i="2"/>
  <c r="O5" i="2"/>
  <c r="N5" i="2"/>
  <c r="M5" i="2"/>
  <c r="L5" i="2"/>
  <c r="P4" i="2"/>
  <c r="O4" i="2"/>
  <c r="N4" i="2"/>
  <c r="M4" i="2"/>
  <c r="L4" i="2"/>
  <c r="O3" i="2"/>
  <c r="N3" i="2"/>
  <c r="M3" i="2"/>
  <c r="L3" i="2"/>
  <c r="P3" i="2" s="1"/>
  <c r="M2" i="2"/>
  <c r="L2" i="2"/>
  <c r="O2" i="2" s="1"/>
  <c r="I3" i="4" l="1"/>
  <c r="N20" i="2"/>
  <c r="P6" i="2"/>
  <c r="P18" i="2"/>
  <c r="P30" i="2"/>
  <c r="N21" i="2"/>
  <c r="N57" i="2"/>
  <c r="N69" i="2"/>
  <c r="N2" i="2"/>
  <c r="O21" i="2"/>
  <c r="N26" i="2"/>
  <c r="O45" i="2"/>
  <c r="O57" i="2"/>
  <c r="C3" i="4" s="1"/>
  <c r="N62" i="2"/>
  <c r="O69" i="2"/>
  <c r="P2" i="2"/>
  <c r="O7" i="2"/>
  <c r="P14" i="2"/>
  <c r="O19" i="2"/>
  <c r="P26" i="2"/>
  <c r="O31" i="2"/>
  <c r="P38" i="2"/>
  <c r="O43" i="2"/>
  <c r="P50" i="2"/>
  <c r="O55" i="2"/>
  <c r="N60" i="2"/>
  <c r="P62" i="2"/>
  <c r="O67" i="2"/>
  <c r="N72" i="2"/>
  <c r="P74" i="2"/>
  <c r="O79" i="2"/>
  <c r="N8" i="2"/>
  <c r="P43" i="2"/>
  <c r="P55" i="2"/>
  <c r="P67" i="2"/>
  <c r="P79" i="2"/>
  <c r="N80" i="2"/>
  <c r="M6" i="4"/>
  <c r="O80" i="2"/>
  <c r="M4" i="4"/>
  <c r="M7" i="4"/>
  <c r="N32" i="2"/>
  <c r="N44" i="2"/>
  <c r="N56" i="2"/>
  <c r="M2" i="4" s="1"/>
  <c r="N68" i="2"/>
  <c r="O8" i="2"/>
  <c r="N13" i="2"/>
  <c r="O20" i="2"/>
  <c r="N25" i="2"/>
  <c r="O32" i="2"/>
  <c r="N37" i="2"/>
  <c r="O44" i="2"/>
  <c r="N49" i="2"/>
  <c r="O56" i="2"/>
  <c r="N61" i="2"/>
  <c r="O68" i="2"/>
  <c r="N73" i="2"/>
  <c r="N6" i="2"/>
  <c r="N18" i="2"/>
  <c r="N30" i="2"/>
  <c r="N42" i="2"/>
  <c r="N54" i="2"/>
  <c r="N66" i="2"/>
  <c r="M8" i="4"/>
  <c r="N81" i="2"/>
  <c r="O81" i="2"/>
  <c r="N9" i="2"/>
  <c r="N33" i="2"/>
  <c r="N45" i="2"/>
  <c r="O9" i="2"/>
  <c r="C6" i="4" s="1"/>
  <c r="N14" i="2"/>
  <c r="O33" i="2"/>
  <c r="N38" i="2"/>
  <c r="N50" i="2"/>
  <c r="N74" i="2"/>
  <c r="M3" i="4"/>
  <c r="M5" i="4"/>
  <c r="I4" i="4" l="1"/>
  <c r="C5" i="4"/>
  <c r="F2" i="4"/>
  <c r="J5" i="4"/>
  <c r="M13" i="4"/>
  <c r="F5" i="4"/>
  <c r="C4" i="4"/>
  <c r="M12" i="4"/>
  <c r="I5" i="4"/>
  <c r="C2" i="4"/>
  <c r="B6" i="4"/>
  <c r="M10" i="4"/>
  <c r="B4" i="4"/>
  <c r="B3" i="4"/>
  <c r="H10" i="1"/>
  <c r="E10" i="1"/>
  <c r="I6" i="4"/>
  <c r="I2" i="4"/>
  <c r="J4" i="4"/>
  <c r="K10" i="1"/>
  <c r="B2" i="4"/>
  <c r="F4" i="4"/>
  <c r="J2" i="4"/>
  <c r="J3" i="4"/>
  <c r="M11" i="4"/>
  <c r="F3" i="4"/>
  <c r="B5" i="4"/>
  <c r="J6" i="4"/>
  <c r="B10" i="1"/>
  <c r="M9" i="4"/>
</calcChain>
</file>

<file path=xl/sharedStrings.xml><?xml version="1.0" encoding="utf-8"?>
<sst xmlns="http://schemas.openxmlformats.org/spreadsheetml/2006/main" count="584" uniqueCount="237">
  <si>
    <t>E-COMMERCE SALES DASHBOARD</t>
  </si>
  <si>
    <t>Category</t>
  </si>
  <si>
    <t>All</t>
  </si>
  <si>
    <t>Payment Method</t>
  </si>
  <si>
    <t>Status</t>
  </si>
  <si>
    <t>Year</t>
  </si>
  <si>
    <t>KEY METRICS</t>
  </si>
  <si>
    <t>TOTAL SALES</t>
  </si>
  <si>
    <t>TOTAL ORDERS</t>
  </si>
  <si>
    <t>AVG ORDER VALUE</t>
  </si>
  <si>
    <t>UNITS SOLD</t>
  </si>
  <si>
    <t>CHARTS  (all update together when you change the filters above)</t>
  </si>
  <si>
    <t>ID</t>
  </si>
  <si>
    <t>Customer_Name</t>
  </si>
  <si>
    <t>Order_ID</t>
  </si>
  <si>
    <t>Order_Date</t>
  </si>
  <si>
    <t>Product</t>
  </si>
  <si>
    <t>Quantity</t>
  </si>
  <si>
    <t>Price</t>
  </si>
  <si>
    <t>Payment_Method</t>
  </si>
  <si>
    <t>Total</t>
  </si>
  <si>
    <t>Quarter</t>
  </si>
  <si>
    <t>Filtered_Total</t>
  </si>
  <si>
    <t>Filtered_Qty</t>
  </si>
  <si>
    <t>Filtered_Count</t>
  </si>
  <si>
    <t>Customer_100</t>
  </si>
  <si>
    <t>ORD-41285</t>
  </si>
  <si>
    <t>Blender</t>
  </si>
  <si>
    <t>Home</t>
  </si>
  <si>
    <t>Cash on Delivery</t>
  </si>
  <si>
    <t>Shipped</t>
  </si>
  <si>
    <t>Customer_102</t>
  </si>
  <si>
    <t>ORD-84355</t>
  </si>
  <si>
    <t>Tennis Racket</t>
  </si>
  <si>
    <t>Sports</t>
  </si>
  <si>
    <t>PayPal</t>
  </si>
  <si>
    <t>Delivered</t>
  </si>
  <si>
    <t>Customer_103</t>
  </si>
  <si>
    <t>ORD-57811</t>
  </si>
  <si>
    <t>Science</t>
  </si>
  <si>
    <t>Books</t>
  </si>
  <si>
    <t>Processing</t>
  </si>
  <si>
    <t>Customer_104</t>
  </si>
  <si>
    <t>ORD-93614</t>
  </si>
  <si>
    <t>Biography</t>
  </si>
  <si>
    <t>Customer_105</t>
  </si>
  <si>
    <t>ORD-22442</t>
  </si>
  <si>
    <t>Cancelled</t>
  </si>
  <si>
    <t>Customer_107</t>
  </si>
  <si>
    <t>ORD-89122</t>
  </si>
  <si>
    <t>Returned</t>
  </si>
  <si>
    <t>Customer_108</t>
  </si>
  <si>
    <t>ORD-64400</t>
  </si>
  <si>
    <t>Customer_109</t>
  </si>
  <si>
    <t>ORD-18512</t>
  </si>
  <si>
    <t>Credit Card</t>
  </si>
  <si>
    <t>Customer_110</t>
  </si>
  <si>
    <t>ORD-61020</t>
  </si>
  <si>
    <t>Basketball</t>
  </si>
  <si>
    <t>Customer_111</t>
  </si>
  <si>
    <t>ORD-72349</t>
  </si>
  <si>
    <t>Comics</t>
  </si>
  <si>
    <t>Customer_112</t>
  </si>
  <si>
    <t>ORD-80867</t>
  </si>
  <si>
    <t>Shoes</t>
  </si>
  <si>
    <t>Clothing</t>
  </si>
  <si>
    <t>Bank Transfer</t>
  </si>
  <si>
    <t>Customer_113</t>
  </si>
  <si>
    <t>ORD-23994</t>
  </si>
  <si>
    <t>Fiction</t>
  </si>
  <si>
    <t>Customer_115</t>
  </si>
  <si>
    <t>ORD-72778</t>
  </si>
  <si>
    <t>Customer_117</t>
  </si>
  <si>
    <t>ORD-72751</t>
  </si>
  <si>
    <t>Electronics</t>
  </si>
  <si>
    <t>Customer_118</t>
  </si>
  <si>
    <t>ORD-96061</t>
  </si>
  <si>
    <t>Customer_119</t>
  </si>
  <si>
    <t>ORD-76016</t>
  </si>
  <si>
    <t>Customer_120</t>
  </si>
  <si>
    <t>ORD-14659</t>
  </si>
  <si>
    <t>Yoga Mat</t>
  </si>
  <si>
    <t>Customer_121</t>
  </si>
  <si>
    <t>ORD-80067</t>
  </si>
  <si>
    <t>Customer_122</t>
  </si>
  <si>
    <t>ORD-21443</t>
  </si>
  <si>
    <t>Microwave</t>
  </si>
  <si>
    <t>Customer_123</t>
  </si>
  <si>
    <t>ORD-11314</t>
  </si>
  <si>
    <t>Vacuum</t>
  </si>
  <si>
    <t>Customer_125</t>
  </si>
  <si>
    <t>ORD-23202</t>
  </si>
  <si>
    <t>Customer_126</t>
  </si>
  <si>
    <t>ORD-11261</t>
  </si>
  <si>
    <t>Customer_127</t>
  </si>
  <si>
    <t>ORD-65482</t>
  </si>
  <si>
    <t>Customer_128</t>
  </si>
  <si>
    <t>ORD-12270</t>
  </si>
  <si>
    <t>Lamp</t>
  </si>
  <si>
    <t>Customer_129</t>
  </si>
  <si>
    <t>ORD-48863</t>
  </si>
  <si>
    <t>Customer_131</t>
  </si>
  <si>
    <t>ORD-91396</t>
  </si>
  <si>
    <t>Customer_132</t>
  </si>
  <si>
    <t>ORD-40186</t>
  </si>
  <si>
    <t>Customer_134</t>
  </si>
  <si>
    <t>ORD-16585</t>
  </si>
  <si>
    <t>T-shirt</t>
  </si>
  <si>
    <t>Customer_135</t>
  </si>
  <si>
    <t>ORD-33656</t>
  </si>
  <si>
    <t>Smartwatch</t>
  </si>
  <si>
    <t>Customer_137</t>
  </si>
  <si>
    <t>ORD-91254</t>
  </si>
  <si>
    <t>Customer_138</t>
  </si>
  <si>
    <t>ORD-34319</t>
  </si>
  <si>
    <t>Customer_139</t>
  </si>
  <si>
    <t>ORD-38418</t>
  </si>
  <si>
    <t>Smartphone</t>
  </si>
  <si>
    <t>Customer_140</t>
  </si>
  <si>
    <t>ORD-67096</t>
  </si>
  <si>
    <t>Customer_141</t>
  </si>
  <si>
    <t>ORD-45059</t>
  </si>
  <si>
    <t>Customer_142</t>
  </si>
  <si>
    <t>ORD-69018</t>
  </si>
  <si>
    <t>Customer_143</t>
  </si>
  <si>
    <t>ORD-14329</t>
  </si>
  <si>
    <t>Customer_144</t>
  </si>
  <si>
    <t>ORD-89452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</si>
  <si>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</si>
  <si>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</si>
  <si>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</si>
  <si>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</si>
  <si>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</si>
  <si>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</si>
  <si>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</si>
  <si>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</si>
  <si>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</si>
  <si>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</si>
  <si>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</si>
  <si>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Customer_149</t>
  </si>
  <si>
    <t>ORD-95911</t>
  </si>
  <si>
    <t>Customer_150</t>
  </si>
  <si>
    <t>ORD-76902</t>
  </si>
  <si>
    <t>Customer_151</t>
  </si>
  <si>
    <t>ORD-56552</t>
  </si>
  <si>
    <t>Customer_152</t>
  </si>
  <si>
    <t>ORD-72869</t>
  </si>
  <si>
    <t>Customer_153</t>
  </si>
  <si>
    <t>ORD-29721</t>
  </si>
  <si>
    <t>Customer_154</t>
  </si>
  <si>
    <t>ORD-95990</t>
  </si>
  <si>
    <t>Customer_155</t>
  </si>
  <si>
    <t>ORD-20182</t>
  </si>
  <si>
    <t>shoes</t>
  </si>
  <si>
    <t>Customer_157</t>
  </si>
  <si>
    <t>ORD-34407</t>
  </si>
  <si>
    <t>Customer_158</t>
  </si>
  <si>
    <t>ORD-35817</t>
  </si>
  <si>
    <t>Customer_159</t>
  </si>
  <si>
    <t>ORD-98162</t>
  </si>
  <si>
    <t>Customer_160</t>
  </si>
  <si>
    <t>ORD-96037</t>
  </si>
  <si>
    <t>Customer_161</t>
  </si>
  <si>
    <t>ORD-27653</t>
  </si>
  <si>
    <t>Customer_162</t>
  </si>
  <si>
    <t>ORD-27743</t>
  </si>
  <si>
    <t>Customer_163</t>
  </si>
  <si>
    <t>ORD-24378</t>
  </si>
  <si>
    <t>Customer_165</t>
  </si>
  <si>
    <t>ORD-55695</t>
  </si>
  <si>
    <t>Customer_166</t>
  </si>
  <si>
    <t>ORD-97756</t>
  </si>
  <si>
    <t>Customer_168</t>
  </si>
  <si>
    <t>ORD-53430</t>
  </si>
  <si>
    <t>Customer_169</t>
  </si>
  <si>
    <t>ORD-75539</t>
  </si>
  <si>
    <t>Customer_170</t>
  </si>
  <si>
    <t>ORD-21530</t>
  </si>
  <si>
    <t>Jeans</t>
  </si>
  <si>
    <t>Customer_171</t>
  </si>
  <si>
    <t>ORD-99790</t>
  </si>
  <si>
    <t>Customer_172</t>
  </si>
  <si>
    <t>ORD-48008</t>
  </si>
  <si>
    <t>Customer_173</t>
  </si>
  <si>
    <t>ORD-42171</t>
  </si>
  <si>
    <t>Customer_174</t>
  </si>
  <si>
    <t>ORD-16766</t>
  </si>
  <si>
    <t>Customer_175</t>
  </si>
  <si>
    <t>ORD-56651</t>
  </si>
  <si>
    <t>Headphones</t>
  </si>
  <si>
    <t>Customer_176</t>
  </si>
  <si>
    <t>ORD-95794</t>
  </si>
  <si>
    <t>Customer_177</t>
  </si>
  <si>
    <t>ORD-64136</t>
  </si>
  <si>
    <t>Customer_178</t>
  </si>
  <si>
    <t>ORD-89906</t>
  </si>
  <si>
    <t>Customer_179</t>
  </si>
  <si>
    <t>ORD-99328</t>
  </si>
  <si>
    <t>Customer_185</t>
  </si>
  <si>
    <t>ORD-57123</t>
  </si>
  <si>
    <t>Customer_186</t>
  </si>
  <si>
    <t>ORD-90569</t>
  </si>
  <si>
    <t>Customer_187</t>
  </si>
  <si>
    <t>ORD-41292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</si>
  <si>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</si>
  <si>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</si>
  <si>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</si>
  <si>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</si>
  <si>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</si>
  <si>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</si>
  <si>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</si>
  <si>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</si>
  <si>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Customer_194</t>
  </si>
  <si>
    <t>ORD-69764</t>
  </si>
  <si>
    <t>Customer_195</t>
  </si>
  <si>
    <t>ORD-82876</t>
  </si>
  <si>
    <t>Customer_197</t>
  </si>
  <si>
    <t>ORD-79139</t>
  </si>
  <si>
    <t>Customer_199</t>
  </si>
  <si>
    <t>ORD-82922</t>
  </si>
  <si>
    <t>Payment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</si>
  <si>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</si>
  <si>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</si>
  <si>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</si>
  <si>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</si>
  <si>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</si>
  <si>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</si>
  <si>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</si>
  <si>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</si>
  <si>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</si>
  <si>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</si>
  <si>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</si>
  <si>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</si>
  <si>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Sales</t>
  </si>
  <si>
    <t>Qty</t>
  </si>
  <si>
    <t>Orders</t>
  </si>
  <si>
    <t xml:space="preserve">FILTERS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</si>
</sst>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yyyy\-mm\-dd"/>
  </numFmts>
  <fonts count="8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D0D8E8"/>
      <name val="Arial"/>
      <charset val="1"/>
    </font>
    <font>
      <b/>
      <sz val="12"/>
      <color rgb="FFFFFFFF"/>
      <name val="Arial"/>
      <charset val="1"/>
    </font>
    <font>
      <b/>
      <sz val="10"/>
      <color rgb="FF5A5A5A"/>
      <name val="Arial"/>
      <charset val="1"/>
    </font>
    <font>
      <b/>
      <sz val="11"/>
      <color rgb="FF1F2A44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E86AB"/>
        <bgColor rgb="FF4F81BD"/>
      </patternFill>
    </fill>
    <fill>
      <patternFill patternType="solid">
        <fgColor rgb="FFEAF0F7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7AE60"/>
        <bgColor rgb="FF2E86AB"/>
      </patternFill>
    </fill>
    <fill>
      <patternFill patternType="solid">
        <fgColor rgb="FFF39C12"/>
        <bgColor rgb="FFFFCC00"/>
      </patternFill>
    </fill>
    <fill>
      <patternFill patternType="solid">
        <fgColor rgb="FF8E44AD"/>
        <bgColor rgb="FF8064A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7" fillId="8" borderId="0" xfId="0" applyNumberFormat="1" applyFont="1" applyFill="1" applyAlignment="1">
      <alignment horizontal="left" vertical="center" indent="1"/>
    </xf>
    <xf numFmtId="165" fontId="7" fillId="7" borderId="0" xfId="0" applyNumberFormat="1" applyFont="1" applyFill="1" applyAlignment="1">
      <alignment horizontal="left" vertical="center" indent="1"/>
    </xf>
    <xf numFmtId="3" fontId="7" fillId="6" borderId="0" xfId="0" applyNumberFormat="1" applyFont="1" applyFill="1" applyAlignment="1">
      <alignment horizontal="left" vertical="center" indent="1"/>
    </xf>
    <xf numFmtId="164" fontId="7" fillId="3" borderId="0" xfId="0" applyNumberFormat="1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top" indent="1"/>
    </xf>
    <xf numFmtId="0" fontId="6" fillId="7" borderId="0" xfId="0" applyFont="1" applyFill="1" applyAlignment="1">
      <alignment horizontal="left" vertical="top" indent="1"/>
    </xf>
    <xf numFmtId="0" fontId="6" fillId="6" borderId="0" xfId="0" applyFont="1" applyFill="1" applyAlignment="1">
      <alignment horizontal="left" vertical="top" indent="1"/>
    </xf>
    <xf numFmtId="0" fontId="6" fillId="3" borderId="0" xfId="0" applyFont="1" applyFill="1" applyAlignment="1">
      <alignment horizontal="left" vertical="top" indent="1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166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D9D9D9"/>
      <rgbColor rgb="FF878787"/>
      <rgbColor rgb="FF9999FF"/>
      <rgbColor rgb="FF8E44AD"/>
      <rgbColor rgb="FFF9F9F9"/>
      <rgbColor rgb="FFEAF0F7"/>
      <rgbColor rgb="FF660066"/>
      <rgbColor rgb="FFFF8080"/>
      <rgbColor rgb="FF0066CC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39C12"/>
      <rgbColor rgb="FFFF6600"/>
      <rgbColor rgb="FF8064A2"/>
      <rgbColor rgb="FF969696"/>
      <rgbColor rgb="FF003366"/>
      <rgbColor rgb="FF27AE60"/>
      <rgbColor rgb="FF003300"/>
      <rgbColor rgb="FF333300"/>
      <rgbColor rgb="FF993300"/>
      <rgbColor rgb="FFC0504D"/>
      <rgbColor rgb="FF5A5A5A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PivotData!$B$1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PivotData!$A$2:$A$6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PivotData!$B$2:$B$6</c:f>
              <c:numCache>
                <c:formatCode>\$#,##0</c:formatCode>
                <c:ptCount val="5"/>
                <c:pt idx="0">
                  <c:v>38357.11</c:v>
                </c:pt>
                <c:pt idx="1">
                  <c:v>26859.919999999998</c:v>
                </c:pt>
                <c:pt idx="2">
                  <c:v>39313.939999999995</c:v>
                </c:pt>
                <c:pt idx="3">
                  <c:v>24429.710000000003</c:v>
                </c:pt>
                <c:pt idx="4">
                  <c:v>19736.250000000004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C-4A28-BC5E-5FF03FCA2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82877"/>
        <c:axId val="90639589"/>
      </c:barChart>
      <c:catAx>
        <c:axId val="643828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639589"/>
        <c:crosses val="autoZero"/>
        <c:auto val="1"/>
        <c:lblAlgn val="ctr"/>
        <c:lblOffset val="100"/>
        <c:noMultiLvlLbl val="0"/>
      </c:catAx>
      <c:valAx>
        <c:axId val="906395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3828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Share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PivotData!$F$1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AB5-411B-9AC2-927C49D369A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AB5-411B-9AC2-927C49D369A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AB5-411B-9AC2-927C49D369A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AB5-411B-9AC2-927C49D369A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AB5-411B-9AC2-927C49D369A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AB5-411B-9AC2-927C49D369A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AB5-411B-9AC2-927C49D369A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AAB5-411B-9AC2-927C49D369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PivotData!$E$2:$E$5</c:f>
              <c:strCache>
                <c:ptCount val="4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PivotData!$F$2:$F$5</c:f>
              <c:numCache>
                <c:formatCode>\$#,##0</c:formatCode>
                <c:ptCount val="4"/>
                <c:pt idx="0">
                  <c:v>41208.07</c:v>
                </c:pt>
                <c:pt idx="1">
                  <c:v>62071.539999999994</c:v>
                </c:pt>
                <c:pt idx="2">
                  <c:v>19990.3</c:v>
                </c:pt>
                <c:pt idx="3">
                  <c:v>25427.020000000008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B5-411B-9AC2-927C49D36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Count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PivotData!$I$1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F39C1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PivotData!$H$2:$H$6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PivotData!$I$2:$I$6</c:f>
              <c:numCache>
                <c:formatCode>General</c:formatCode>
                <c:ptCount val="5"/>
                <c:pt idx="0">
                  <c:v>13</c:v>
                </c:pt>
                <c:pt idx="1">
                  <c:v>9</c:v>
                </c:pt>
                <c:pt idx="2">
                  <c:v>17</c:v>
                </c:pt>
                <c:pt idx="3">
                  <c:v>24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3-439B-8369-4138FF323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08751"/>
        <c:axId val="37492246"/>
      </c:barChart>
      <c:catAx>
        <c:axId val="3400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492246"/>
        <c:crosses val="autoZero"/>
        <c:auto val="1"/>
        <c:lblAlgn val="ctr"/>
        <c:lblOffset val="100"/>
        <c:noMultiLvlLbl val="0"/>
      </c:catAx>
      <c:valAx>
        <c:axId val="37492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087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Quarterly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PivotData!$M$1</c:f>
              <c:strCache>
                <c:ptCount val="1"/>
                <c:pt idx="0">
                  <c:v>Sales</c:v>
                </c:pt>
              </c:strCache>
            </c:strRef>
          </c:tx>
          <c:spPr>
            <a:ln w="2484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PivotData!$L$2:$L$13</c:f>
              <c:strCache>
                <c:ptCount val="12"/>
                <c:pt idx="0">
                  <c:v>2023-Q1</c:v>
                </c:pt>
                <c:pt idx="1">
                  <c:v>2023-Q2</c:v>
                </c:pt>
                <c:pt idx="2">
                  <c:v>2023-Q3</c:v>
                </c:pt>
                <c:pt idx="3">
                  <c:v>2023-Q4</c:v>
                </c:pt>
                <c:pt idx="4">
                  <c:v>2024-Q1</c:v>
                </c:pt>
                <c:pt idx="5">
                  <c:v>2024-Q2</c:v>
                </c:pt>
                <c:pt idx="6">
                  <c:v>2024-Q3</c:v>
                </c:pt>
                <c:pt idx="7">
                  <c:v>2024-Q4</c:v>
                </c:pt>
                <c:pt idx="8">
                  <c:v>2025-Q1</c:v>
                </c:pt>
                <c:pt idx="9">
                  <c:v>2025-Q2</c:v>
                </c:pt>
                <c:pt idx="10">
                  <c:v>2025-Q3</c:v>
                </c:pt>
                <c:pt idx="11">
                  <c:v>2025-Q4</c:v>
                </c:pt>
              </c:strCache>
            </c:strRef>
          </c:cat>
          <c:val>
            <c:numRef>
              <c:f>PivotData!$M$2:$M$13</c:f>
              <c:numCache>
                <c:formatCode>\$#,##0</c:formatCode>
                <c:ptCount val="12"/>
                <c:pt idx="0">
                  <c:v>705.78</c:v>
                </c:pt>
                <c:pt idx="1">
                  <c:v>1721.98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16368.48</c:v>
                </c:pt>
                <c:pt idx="8">
                  <c:v>55377.11</c:v>
                </c:pt>
                <c:pt idx="9">
                  <c:v>29339.030000000002</c:v>
                </c:pt>
                <c:pt idx="10">
                  <c:v>24960.170000000002</c:v>
                </c:pt>
                <c:pt idx="11">
                  <c:v>20224.38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3-46AC-AFBE-B8BFD44AF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114459"/>
        <c:axId val="85417649"/>
      </c:lineChart>
      <c:catAx>
        <c:axId val="991144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417649"/>
        <c:crosses val="autoZero"/>
        <c:auto val="1"/>
        <c:lblAlgn val="ctr"/>
        <c:lblOffset val="100"/>
        <c:noMultiLvlLbl val="0"/>
      </c:catAx>
      <c:valAx>
        <c:axId val="85417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1144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7</xdr:col>
      <xdr:colOff>907716</xdr:colOff>
      <xdr:row>28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15</xdr:col>
      <xdr:colOff>206641</xdr:colOff>
      <xdr:row>28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907716</xdr:colOff>
      <xdr:row>45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15</xdr:col>
      <xdr:colOff>206641</xdr:colOff>
      <xdr:row>45</xdr:row>
      <xdr:rowOff>21960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3"/>
  <sheetViews>
    <sheetView showGridLines="0" tabSelected="1" topLeftCell="A13" zoomScale="126" zoomScaleNormal="100" workbookViewId="0">
      <selection activeCell="P7" sqref="P7"/>
    </sheetView>
  </sheetViews>
  <sheetFormatPr defaultColWidth="8.6640625" defaultRowHeight="14.4" x14ac:dyDescent="0.3"/>
  <cols>
    <col min="2" max="2" width="15" customWidth="1"/>
    <col min="3" max="3" width="13" customWidth="1"/>
    <col min="4" max="4" width="3" customWidth="1"/>
    <col min="5" max="5" width="16.77734375" customWidth="1"/>
    <col min="6" max="6" width="13" customWidth="1"/>
    <col min="7" max="7" width="3" customWidth="1"/>
    <col min="8" max="8" width="15" customWidth="1"/>
    <col min="9" max="9" width="13" customWidth="1"/>
    <col min="10" max="10" width="3" customWidth="1"/>
    <col min="11" max="11" width="15" customWidth="1"/>
    <col min="12" max="12" width="13" customWidth="1"/>
    <col min="13" max="14" width="3" customWidth="1"/>
  </cols>
  <sheetData>
    <row r="2" spans="2:14" ht="30" customHeight="1" x14ac:dyDescent="0.3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2:14" ht="18" customHeight="1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spans="2:14" ht="19.5" customHeight="1" x14ac:dyDescent="0.3">
      <c r="B5" s="9" t="s">
        <v>236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2:14" ht="21.75" customHeight="1" x14ac:dyDescent="0.3">
      <c r="B6" s="12" t="s">
        <v>1</v>
      </c>
      <c r="C6" s="13" t="s">
        <v>2</v>
      </c>
      <c r="E6" s="12" t="s">
        <v>3</v>
      </c>
      <c r="F6" s="13" t="s">
        <v>2</v>
      </c>
      <c r="H6" s="12" t="s">
        <v>4</v>
      </c>
      <c r="I6" s="13" t="s">
        <v>2</v>
      </c>
      <c r="K6" s="12" t="s">
        <v>5</v>
      </c>
      <c r="L6" s="13" t="s">
        <v>2</v>
      </c>
    </row>
    <row r="8" spans="2:14" ht="19.5" customHeight="1" x14ac:dyDescent="0.3">
      <c r="B8" s="9" t="s">
        <v>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2:14" ht="18" customHeight="1" x14ac:dyDescent="0.3">
      <c r="B9" s="8" t="s">
        <v>7</v>
      </c>
      <c r="C9" s="8"/>
      <c r="D9" s="8"/>
      <c r="E9" s="7" t="s">
        <v>8</v>
      </c>
      <c r="F9" s="7"/>
      <c r="G9" s="7"/>
      <c r="H9" s="6" t="s">
        <v>9</v>
      </c>
      <c r="I9" s="6"/>
      <c r="J9" s="6"/>
      <c r="K9" s="5" t="s">
        <v>10</v>
      </c>
      <c r="L9" s="5"/>
      <c r="M9" s="5"/>
      <c r="N9" s="5"/>
    </row>
    <row r="10" spans="2:14" ht="21.75" customHeight="1" x14ac:dyDescent="0.3">
      <c r="B10" s="4">
        <f>SUM(Data!N2:N81)</f>
        <v>148696.92999999996</v>
      </c>
      <c r="C10" s="4"/>
      <c r="D10" s="4"/>
      <c r="E10" s="3">
        <f>SUM(Data!P2:P81)</f>
        <v>80</v>
      </c>
      <c r="F10" s="3"/>
      <c r="G10" s="3"/>
      <c r="H10" s="2">
        <f>IF(SUM(Data!P2:P81)=0,0,SUM(Data!N2:N81)/SUM(Data!P2:P81))</f>
        <v>1858.7116249999995</v>
      </c>
      <c r="I10" s="2"/>
      <c r="J10" s="2"/>
      <c r="K10" s="1">
        <f>SUM(Data!O2:O81)</f>
        <v>248</v>
      </c>
      <c r="L10" s="1"/>
      <c r="M10" s="1"/>
      <c r="N10" s="1"/>
    </row>
    <row r="11" spans="2:14" ht="21.75" customHeight="1" x14ac:dyDescent="0.3">
      <c r="B11" s="4"/>
      <c r="C11" s="4"/>
      <c r="D11" s="4"/>
      <c r="E11" s="3"/>
      <c r="F11" s="3"/>
      <c r="G11" s="3"/>
      <c r="H11" s="2"/>
      <c r="I11" s="2"/>
      <c r="J11" s="2"/>
      <c r="K11" s="1"/>
      <c r="L11" s="1"/>
      <c r="M11" s="1"/>
      <c r="N11" s="1"/>
    </row>
    <row r="13" spans="2:14" ht="19.5" customHeight="1" x14ac:dyDescent="0.3">
      <c r="B13" s="9" t="s">
        <v>11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</sheetData>
  <mergeCells count="13">
    <mergeCell ref="B10:D11"/>
    <mergeCell ref="E10:G11"/>
    <mergeCell ref="H10:J11"/>
    <mergeCell ref="K10:N11"/>
    <mergeCell ref="B13:N13"/>
    <mergeCell ref="B2:N2"/>
    <mergeCell ref="B3:N3"/>
    <mergeCell ref="B5:N5"/>
    <mergeCell ref="B8:N8"/>
    <mergeCell ref="B9:D9"/>
    <mergeCell ref="E9:G9"/>
    <mergeCell ref="H9:J9"/>
    <mergeCell ref="K9:N9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Lists!$A$2:$A$7</xm:f>
          </x14:formula1>
          <x14:formula2>
            <xm:f>0</xm:f>
          </x14:formula2>
          <xm:sqref>C6</xm:sqref>
        </x14:dataValidation>
        <x14:dataValidation type="list" xr:uid="{00000000-0002-0000-0000-000001000000}">
          <x14:formula1>
            <xm:f>Lists!$B$2:$B$6</xm:f>
          </x14:formula1>
          <x14:formula2>
            <xm:f>0</xm:f>
          </x14:formula2>
          <xm:sqref>F6</xm:sqref>
        </x14:dataValidation>
        <x14:dataValidation type="list" xr:uid="{00000000-0002-0000-0000-000002000000}">
          <x14:formula1>
            <xm:f>Lists!$C$2:$C$7</xm:f>
          </x14:formula1>
          <x14:formula2>
            <xm:f>0</xm:f>
          </x14:formula2>
          <xm:sqref>I6</xm:sqref>
        </x14:dataValidation>
        <x14:dataValidation type="list" xr:uid="{00000000-0002-0000-0000-000003000000}">
          <x14:formula1>
            <xm:f>Lists!$D$2:$D$5</xm:f>
          </x14:formula1>
          <x14:formula2>
            <xm:f>0</xm:f>
          </x14:formula2>
          <xm:sqref>L6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16" customWidth="1"/>
    <col min="3" max="4" width="12" customWidth="1"/>
    <col min="5" max="5" width="14" customWidth="1"/>
    <col min="6" max="6" width="12" customWidth="1"/>
    <col min="7" max="7" width="10" customWidth="1"/>
    <col min="8" max="8" width="12" customWidth="1"/>
    <col min="9" max="9" width="16" customWidth="1"/>
    <col min="10" max="11" width="12" customWidth="1"/>
    <col min="12" max="12" width="7" customWidth="1"/>
    <col min="13" max="13" width="9" customWidth="1"/>
    <col min="14" max="14" width="15" customWidth="1"/>
    <col min="15" max="15" width="13" customWidth="1"/>
    <col min="16" max="16" width="15" customWidth="1"/>
  </cols>
  <sheetData>
    <row r="1" spans="1:16" x14ac:dyDescent="0.3">
      <c r="A1" s="14" t="s">
        <v>12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</v>
      </c>
      <c r="G1" s="14" t="s">
        <v>17</v>
      </c>
      <c r="H1" s="14" t="s">
        <v>18</v>
      </c>
      <c r="I1" s="14" t="s">
        <v>19</v>
      </c>
      <c r="J1" s="14" t="s">
        <v>4</v>
      </c>
      <c r="K1" s="14" t="s">
        <v>20</v>
      </c>
      <c r="L1" s="14" t="s">
        <v>5</v>
      </c>
      <c r="M1" s="14" t="s">
        <v>21</v>
      </c>
      <c r="N1" s="14" t="s">
        <v>22</v>
      </c>
      <c r="O1" s="14" t="s">
        <v>23</v>
      </c>
      <c r="P1" s="14" t="s">
        <v>24</v>
      </c>
    </row>
    <row r="2" spans="1:16" x14ac:dyDescent="0.3">
      <c r="A2">
        <v>100</v>
      </c>
      <c r="B2" t="s">
        <v>25</v>
      </c>
      <c r="C2" t="s">
        <v>26</v>
      </c>
      <c r="D2" s="15">
        <v>45618</v>
      </c>
      <c r="E2" t="s">
        <v>27</v>
      </c>
      <c r="F2" t="s">
        <v>28</v>
      </c>
      <c r="G2">
        <v>3</v>
      </c>
      <c r="H2" s="16">
        <v>38</v>
      </c>
      <c r="I2" t="s">
        <v>29</v>
      </c>
      <c r="J2" t="s">
        <v>30</v>
      </c>
      <c r="K2" s="16">
        <v>114</v>
      </c>
      <c r="L2">
        <f t="shared" ref="L2:L33" si="0">YEAR(D2)</f>
        <v>2024</v>
      </c>
      <c r="M2" t="str">
        <f t="shared" ref="M2:M33" si="1">YEAR(D2)&amp;"-Q"&amp;ROUNDUP(MONTH(D2)/3,0)</f>
        <v>2024-Q4</v>
      </c>
      <c r="N2" s="16">
        <f>IF(AND(OR(Dashboard!$C$6="All",F2=Dashboard!$C$6),OR(Dashboard!$F$6="All",I2=Dashboard!$F$6),OR(Dashboard!$I$6="All",J2=Dashboard!$I$6),OR(Dashboard!$L$6="All",L2=Dashboard!$L$6)),K2,0)</f>
        <v>114</v>
      </c>
      <c r="O2">
        <f>IF(AND(OR(Dashboard!$C$6="All",F2=Dashboard!$C$6),OR(Dashboard!$F$6="All",I2=Dashboard!$F$6),OR(Dashboard!$I$6="All",J2=Dashboard!$I$6),OR(Dashboard!$L$6="All",L2=Dashboard!$L$6)),G2,0)</f>
        <v>3</v>
      </c>
      <c r="P2">
        <f>IF(AND(OR(Dashboard!$C$6="All",F2=Dashboard!$C$6),OR(Dashboard!$F$6="All",I2=Dashboard!$F$6),OR(Dashboard!$I$6="All",J2=Dashboard!$I$6),OR(Dashboard!$L$6="All",L2=Dashboard!$L$6)),1,0)</f>
        <v>1</v>
      </c>
    </row>
    <row r="3" spans="1:16" x14ac:dyDescent="0.3">
      <c r="A3">
        <v>102</v>
      </c>
      <c r="B3" t="s">
        <v>31</v>
      </c>
      <c r="C3" t="s">
        <v>32</v>
      </c>
      <c r="D3" s="15">
        <v>45649</v>
      </c>
      <c r="E3" t="s">
        <v>33</v>
      </c>
      <c r="F3" t="s">
        <v>34</v>
      </c>
      <c r="G3">
        <v>1</v>
      </c>
      <c r="H3" s="16">
        <v>389.05</v>
      </c>
      <c r="I3" t="s">
        <v>35</v>
      </c>
      <c r="J3" t="s">
        <v>36</v>
      </c>
      <c r="K3" s="16">
        <v>389.05</v>
      </c>
      <c r="L3">
        <f t="shared" si="0"/>
        <v>2024</v>
      </c>
      <c r="M3" t="str">
        <f t="shared" si="1"/>
        <v>2024-Q4</v>
      </c>
      <c r="N3" s="16">
        <f>IF(AND(OR(Dashboard!$C$6="All",F3=Dashboard!$C$6),OR(Dashboard!$F$6="All",I3=Dashboard!$F$6),OR(Dashboard!$I$6="All",J3=Dashboard!$I$6),OR(Dashboard!$L$6="All",L3=Dashboard!$L$6)),K3,0)</f>
        <v>389.05</v>
      </c>
      <c r="O3">
        <f>IF(AND(OR(Dashboard!$C$6="All",F3=Dashboard!$C$6),OR(Dashboard!$F$6="All",I3=Dashboard!$F$6),OR(Dashboard!$I$6="All",J3=Dashboard!$I$6),OR(Dashboard!$L$6="All",L3=Dashboard!$L$6)),G3,0)</f>
        <v>1</v>
      </c>
      <c r="P3">
        <f>IF(AND(OR(Dashboard!$C$6="All",F3=Dashboard!$C$6),OR(Dashboard!$F$6="All",I3=Dashboard!$F$6),OR(Dashboard!$I$6="All",J3=Dashboard!$I$6),OR(Dashboard!$L$6="All",L3=Dashboard!$L$6)),1,0)</f>
        <v>1</v>
      </c>
    </row>
    <row r="4" spans="1:16" x14ac:dyDescent="0.3">
      <c r="A4">
        <v>103</v>
      </c>
      <c r="B4" t="s">
        <v>37</v>
      </c>
      <c r="C4" t="s">
        <v>38</v>
      </c>
      <c r="D4" s="15">
        <v>45735</v>
      </c>
      <c r="E4" t="s">
        <v>39</v>
      </c>
      <c r="F4" t="s">
        <v>40</v>
      </c>
      <c r="G4">
        <v>5</v>
      </c>
      <c r="H4" s="16">
        <v>233.92</v>
      </c>
      <c r="I4" t="s">
        <v>35</v>
      </c>
      <c r="J4" t="s">
        <v>41</v>
      </c>
      <c r="K4" s="16">
        <v>1169.5999999999999</v>
      </c>
      <c r="L4">
        <f t="shared" si="0"/>
        <v>2025</v>
      </c>
      <c r="M4" t="str">
        <f t="shared" si="1"/>
        <v>2025-Q1</v>
      </c>
      <c r="N4" s="16">
        <f>IF(AND(OR(Dashboard!$C$6="All",F4=Dashboard!$C$6),OR(Dashboard!$F$6="All",I4=Dashboard!$F$6),OR(Dashboard!$I$6="All",J4=Dashboard!$I$6),OR(Dashboard!$L$6="All",L4=Dashboard!$L$6)),K4,0)</f>
        <v>1169.5999999999999</v>
      </c>
      <c r="O4">
        <f>IF(AND(OR(Dashboard!$C$6="All",F4=Dashboard!$C$6),OR(Dashboard!$F$6="All",I4=Dashboard!$F$6),OR(Dashboard!$I$6="All",J4=Dashboard!$I$6),OR(Dashboard!$L$6="All",L4=Dashboard!$L$6)),G4,0)</f>
        <v>5</v>
      </c>
      <c r="P4">
        <f>IF(AND(OR(Dashboard!$C$6="All",F4=Dashboard!$C$6),OR(Dashboard!$F$6="All",I4=Dashboard!$F$6),OR(Dashboard!$I$6="All",J4=Dashboard!$I$6),OR(Dashboard!$L$6="All",L4=Dashboard!$L$6)),1,0)</f>
        <v>1</v>
      </c>
    </row>
    <row r="5" spans="1:16" x14ac:dyDescent="0.3">
      <c r="A5">
        <v>104</v>
      </c>
      <c r="B5" t="s">
        <v>42</v>
      </c>
      <c r="C5" t="s">
        <v>43</v>
      </c>
      <c r="D5" s="15">
        <v>45950</v>
      </c>
      <c r="E5" t="s">
        <v>44</v>
      </c>
      <c r="F5" t="s">
        <v>40</v>
      </c>
      <c r="G5">
        <v>1</v>
      </c>
      <c r="H5" s="16">
        <v>552.51</v>
      </c>
      <c r="I5" t="s">
        <v>29</v>
      </c>
      <c r="J5" t="s">
        <v>41</v>
      </c>
      <c r="K5" s="16">
        <v>552.51</v>
      </c>
      <c r="L5">
        <f t="shared" si="0"/>
        <v>2025</v>
      </c>
      <c r="M5" t="str">
        <f t="shared" si="1"/>
        <v>2025-Q4</v>
      </c>
      <c r="N5" s="16">
        <f>IF(AND(OR(Dashboard!$C$6="All",F5=Dashboard!$C$6),OR(Dashboard!$F$6="All",I5=Dashboard!$F$6),OR(Dashboard!$I$6="All",J5=Dashboard!$I$6),OR(Dashboard!$L$6="All",L5=Dashboard!$L$6)),K5,0)</f>
        <v>552.51</v>
      </c>
      <c r="O5">
        <f>IF(AND(OR(Dashboard!$C$6="All",F5=Dashboard!$C$6),OR(Dashboard!$F$6="All",I5=Dashboard!$F$6),OR(Dashboard!$I$6="All",J5=Dashboard!$I$6),OR(Dashboard!$L$6="All",L5=Dashboard!$L$6)),G5,0)</f>
        <v>1</v>
      </c>
      <c r="P5">
        <f>IF(AND(OR(Dashboard!$C$6="All",F5=Dashboard!$C$6),OR(Dashboard!$F$6="All",I5=Dashboard!$F$6),OR(Dashboard!$I$6="All",J5=Dashboard!$I$6),OR(Dashboard!$L$6="All",L5=Dashboard!$L$6)),1,0)</f>
        <v>1</v>
      </c>
    </row>
    <row r="6" spans="1:16" x14ac:dyDescent="0.3">
      <c r="A6">
        <v>105</v>
      </c>
      <c r="B6" t="s">
        <v>45</v>
      </c>
      <c r="C6" t="s">
        <v>46</v>
      </c>
      <c r="D6" s="15">
        <v>45616</v>
      </c>
      <c r="E6" t="s">
        <v>33</v>
      </c>
      <c r="F6" t="s">
        <v>34</v>
      </c>
      <c r="G6">
        <v>3</v>
      </c>
      <c r="H6" s="16">
        <v>122.06</v>
      </c>
      <c r="I6" t="s">
        <v>29</v>
      </c>
      <c r="J6" t="s">
        <v>47</v>
      </c>
      <c r="K6" s="16">
        <v>366.18</v>
      </c>
      <c r="L6">
        <f t="shared" si="0"/>
        <v>2024</v>
      </c>
      <c r="M6" t="str">
        <f t="shared" si="1"/>
        <v>2024-Q4</v>
      </c>
      <c r="N6" s="16">
        <f>IF(AND(OR(Dashboard!$C$6="All",F6=Dashboard!$C$6),OR(Dashboard!$F$6="All",I6=Dashboard!$F$6),OR(Dashboard!$I$6="All",J6=Dashboard!$I$6),OR(Dashboard!$L$6="All",L6=Dashboard!$L$6)),K6,0)</f>
        <v>366.18</v>
      </c>
      <c r="O6">
        <f>IF(AND(OR(Dashboard!$C$6="All",F6=Dashboard!$C$6),OR(Dashboard!$F$6="All",I6=Dashboard!$F$6),OR(Dashboard!$I$6="All",J6=Dashboard!$I$6),OR(Dashboard!$L$6="All",L6=Dashboard!$L$6)),G6,0)</f>
        <v>3</v>
      </c>
      <c r="P6">
        <f>IF(AND(OR(Dashboard!$C$6="All",F6=Dashboard!$C$6),OR(Dashboard!$F$6="All",I6=Dashboard!$F$6),OR(Dashboard!$I$6="All",J6=Dashboard!$I$6),OR(Dashboard!$L$6="All",L6=Dashboard!$L$6)),1,0)</f>
        <v>1</v>
      </c>
    </row>
    <row r="7" spans="1:16" x14ac:dyDescent="0.3">
      <c r="A7">
        <v>107</v>
      </c>
      <c r="B7" t="s">
        <v>48</v>
      </c>
      <c r="C7" t="s">
        <v>49</v>
      </c>
      <c r="D7" s="15">
        <v>45660</v>
      </c>
      <c r="E7" t="s">
        <v>44</v>
      </c>
      <c r="F7" t="s">
        <v>40</v>
      </c>
      <c r="G7">
        <v>5</v>
      </c>
      <c r="H7" s="16">
        <v>587.67999999999995</v>
      </c>
      <c r="I7" t="s">
        <v>35</v>
      </c>
      <c r="J7" t="s">
        <v>50</v>
      </c>
      <c r="K7" s="16">
        <v>2938.4</v>
      </c>
      <c r="L7">
        <f t="shared" si="0"/>
        <v>2025</v>
      </c>
      <c r="M7" t="str">
        <f t="shared" si="1"/>
        <v>2025-Q1</v>
      </c>
      <c r="N7" s="16">
        <f>IF(AND(OR(Dashboard!$C$6="All",F7=Dashboard!$C$6),OR(Dashboard!$F$6="All",I7=Dashboard!$F$6),OR(Dashboard!$I$6="All",J7=Dashboard!$I$6),OR(Dashboard!$L$6="All",L7=Dashboard!$L$6)),K7,0)</f>
        <v>2938.4</v>
      </c>
      <c r="O7">
        <f>IF(AND(OR(Dashboard!$C$6="All",F7=Dashboard!$C$6),OR(Dashboard!$F$6="All",I7=Dashboard!$F$6),OR(Dashboard!$I$6="All",J7=Dashboard!$I$6),OR(Dashboard!$L$6="All",L7=Dashboard!$L$6)),G7,0)</f>
        <v>5</v>
      </c>
      <c r="P7">
        <f>IF(AND(OR(Dashboard!$C$6="All",F7=Dashboard!$C$6),OR(Dashboard!$F$6="All",I7=Dashboard!$F$6),OR(Dashboard!$I$6="All",J7=Dashboard!$I$6),OR(Dashboard!$L$6="All",L7=Dashboard!$L$6)),1,0)</f>
        <v>1</v>
      </c>
    </row>
    <row r="8" spans="1:16" x14ac:dyDescent="0.3">
      <c r="A8">
        <v>108</v>
      </c>
      <c r="B8" t="s">
        <v>51</v>
      </c>
      <c r="C8" t="s">
        <v>52</v>
      </c>
      <c r="D8" s="15">
        <v>45953</v>
      </c>
      <c r="E8" t="s">
        <v>39</v>
      </c>
      <c r="F8" t="s">
        <v>40</v>
      </c>
      <c r="G8">
        <v>1</v>
      </c>
      <c r="H8" s="16">
        <v>600.29</v>
      </c>
      <c r="I8" t="s">
        <v>29</v>
      </c>
      <c r="J8" t="s">
        <v>41</v>
      </c>
      <c r="K8" s="16">
        <v>600.29</v>
      </c>
      <c r="L8">
        <f t="shared" si="0"/>
        <v>2025</v>
      </c>
      <c r="M8" t="str">
        <f t="shared" si="1"/>
        <v>2025-Q4</v>
      </c>
      <c r="N8" s="16">
        <f>IF(AND(OR(Dashboard!$C$6="All",F8=Dashboard!$C$6),OR(Dashboard!$F$6="All",I8=Dashboard!$F$6),OR(Dashboard!$I$6="All",J8=Dashboard!$I$6),OR(Dashboard!$L$6="All",L8=Dashboard!$L$6)),K8,0)</f>
        <v>600.29</v>
      </c>
      <c r="O8">
        <f>IF(AND(OR(Dashboard!$C$6="All",F8=Dashboard!$C$6),OR(Dashboard!$F$6="All",I8=Dashboard!$F$6),OR(Dashboard!$I$6="All",J8=Dashboard!$I$6),OR(Dashboard!$L$6="All",L8=Dashboard!$L$6)),G8,0)</f>
        <v>1</v>
      </c>
      <c r="P8">
        <f>IF(AND(OR(Dashboard!$C$6="All",F8=Dashboard!$C$6),OR(Dashboard!$F$6="All",I8=Dashboard!$F$6),OR(Dashboard!$I$6="All",J8=Dashboard!$I$6),OR(Dashboard!$L$6="All",L8=Dashboard!$L$6)),1,0)</f>
        <v>1</v>
      </c>
    </row>
    <row r="9" spans="1:16" x14ac:dyDescent="0.3">
      <c r="A9">
        <v>109</v>
      </c>
      <c r="B9" t="s">
        <v>53</v>
      </c>
      <c r="C9" t="s">
        <v>54</v>
      </c>
      <c r="D9" s="15">
        <v>45780</v>
      </c>
      <c r="E9" t="s">
        <v>33</v>
      </c>
      <c r="F9" t="s">
        <v>34</v>
      </c>
      <c r="G9">
        <v>5</v>
      </c>
      <c r="H9" s="16">
        <v>168.34</v>
      </c>
      <c r="I9" t="s">
        <v>55</v>
      </c>
      <c r="J9" t="s">
        <v>30</v>
      </c>
      <c r="K9" s="16">
        <v>841.7</v>
      </c>
      <c r="L9">
        <f t="shared" si="0"/>
        <v>2025</v>
      </c>
      <c r="M9" t="str">
        <f t="shared" si="1"/>
        <v>2025-Q2</v>
      </c>
      <c r="N9" s="16">
        <f>IF(AND(OR(Dashboard!$C$6="All",F9=Dashboard!$C$6),OR(Dashboard!$F$6="All",I9=Dashboard!$F$6),OR(Dashboard!$I$6="All",J9=Dashboard!$I$6),OR(Dashboard!$L$6="All",L9=Dashboard!$L$6)),K9,0)</f>
        <v>841.7</v>
      </c>
      <c r="O9">
        <f>IF(AND(OR(Dashboard!$C$6="All",F9=Dashboard!$C$6),OR(Dashboard!$F$6="All",I9=Dashboard!$F$6),OR(Dashboard!$I$6="All",J9=Dashboard!$I$6),OR(Dashboard!$L$6="All",L9=Dashboard!$L$6)),G9,0)</f>
        <v>5</v>
      </c>
      <c r="P9">
        <f>IF(AND(OR(Dashboard!$C$6="All",F9=Dashboard!$C$6),OR(Dashboard!$F$6="All",I9=Dashboard!$F$6),OR(Dashboard!$I$6="All",J9=Dashboard!$I$6),OR(Dashboard!$L$6="All",L9=Dashboard!$L$6)),1,0)</f>
        <v>1</v>
      </c>
    </row>
    <row r="10" spans="1:16" x14ac:dyDescent="0.3">
      <c r="A10">
        <v>110</v>
      </c>
      <c r="B10" t="s">
        <v>56</v>
      </c>
      <c r="C10" t="s">
        <v>57</v>
      </c>
      <c r="D10" s="15">
        <v>45926</v>
      </c>
      <c r="E10" t="s">
        <v>58</v>
      </c>
      <c r="F10" t="s">
        <v>34</v>
      </c>
      <c r="G10">
        <v>5</v>
      </c>
      <c r="H10" s="16">
        <v>400</v>
      </c>
      <c r="I10" t="s">
        <v>29</v>
      </c>
      <c r="J10" t="s">
        <v>47</v>
      </c>
      <c r="K10" s="16">
        <v>2000</v>
      </c>
      <c r="L10">
        <f t="shared" si="0"/>
        <v>2025</v>
      </c>
      <c r="M10" t="str">
        <f t="shared" si="1"/>
        <v>2025-Q3</v>
      </c>
      <c r="N10" s="16">
        <f>IF(AND(OR(Dashboard!$C$6="All",F10=Dashboard!$C$6),OR(Dashboard!$F$6="All",I10=Dashboard!$F$6),OR(Dashboard!$I$6="All",J10=Dashboard!$I$6),OR(Dashboard!$L$6="All",L10=Dashboard!$L$6)),K10,0)</f>
        <v>2000</v>
      </c>
      <c r="O10">
        <f>IF(AND(OR(Dashboard!$C$6="All",F10=Dashboard!$C$6),OR(Dashboard!$F$6="All",I10=Dashboard!$F$6),OR(Dashboard!$I$6="All",J10=Dashboard!$I$6),OR(Dashboard!$L$6="All",L10=Dashboard!$L$6)),G10,0)</f>
        <v>5</v>
      </c>
      <c r="P10">
        <f>IF(AND(OR(Dashboard!$C$6="All",F10=Dashboard!$C$6),OR(Dashboard!$F$6="All",I10=Dashboard!$F$6),OR(Dashboard!$I$6="All",J10=Dashboard!$I$6),OR(Dashboard!$L$6="All",L10=Dashboard!$L$6)),1,0)</f>
        <v>1</v>
      </c>
    </row>
    <row r="11" spans="1:16" x14ac:dyDescent="0.3">
      <c r="A11">
        <v>111</v>
      </c>
      <c r="B11" t="s">
        <v>59</v>
      </c>
      <c r="C11" t="s">
        <v>60</v>
      </c>
      <c r="D11" s="15">
        <v>45952</v>
      </c>
      <c r="E11" t="s">
        <v>61</v>
      </c>
      <c r="F11" t="s">
        <v>40</v>
      </c>
      <c r="G11">
        <v>2</v>
      </c>
      <c r="H11" s="16">
        <v>865.77</v>
      </c>
      <c r="I11" t="s">
        <v>55</v>
      </c>
      <c r="J11" t="s">
        <v>50</v>
      </c>
      <c r="K11" s="16">
        <v>1731.54</v>
      </c>
      <c r="L11">
        <f t="shared" si="0"/>
        <v>2025</v>
      </c>
      <c r="M11" t="str">
        <f t="shared" si="1"/>
        <v>2025-Q4</v>
      </c>
      <c r="N11" s="16">
        <f>IF(AND(OR(Dashboard!$C$6="All",F11=Dashboard!$C$6),OR(Dashboard!$F$6="All",I11=Dashboard!$F$6),OR(Dashboard!$I$6="All",J11=Dashboard!$I$6),OR(Dashboard!$L$6="All",L11=Dashboard!$L$6)),K11,0)</f>
        <v>1731.54</v>
      </c>
      <c r="O11">
        <f>IF(AND(OR(Dashboard!$C$6="All",F11=Dashboard!$C$6),OR(Dashboard!$F$6="All",I11=Dashboard!$F$6),OR(Dashboard!$I$6="All",J11=Dashboard!$I$6),OR(Dashboard!$L$6="All",L11=Dashboard!$L$6)),G11,0)</f>
        <v>2</v>
      </c>
      <c r="P11">
        <f>IF(AND(OR(Dashboard!$C$6="All",F11=Dashboard!$C$6),OR(Dashboard!$F$6="All",I11=Dashboard!$F$6),OR(Dashboard!$I$6="All",J11=Dashboard!$I$6),OR(Dashboard!$L$6="All",L11=Dashboard!$L$6)),1,0)</f>
        <v>1</v>
      </c>
    </row>
    <row r="12" spans="1:16" x14ac:dyDescent="0.3">
      <c r="A12">
        <v>112</v>
      </c>
      <c r="B12" t="s">
        <v>62</v>
      </c>
      <c r="C12" t="s">
        <v>63</v>
      </c>
      <c r="D12" s="15">
        <v>45718</v>
      </c>
      <c r="E12" t="s">
        <v>64</v>
      </c>
      <c r="F12" t="s">
        <v>65</v>
      </c>
      <c r="G12">
        <v>4</v>
      </c>
      <c r="H12" s="16">
        <v>752.13</v>
      </c>
      <c r="I12" t="s">
        <v>66</v>
      </c>
      <c r="J12" t="s">
        <v>36</v>
      </c>
      <c r="K12" s="16">
        <v>3008.52</v>
      </c>
      <c r="L12">
        <f t="shared" si="0"/>
        <v>2025</v>
      </c>
      <c r="M12" t="str">
        <f t="shared" si="1"/>
        <v>2025-Q1</v>
      </c>
      <c r="N12" s="16">
        <f>IF(AND(OR(Dashboard!$C$6="All",F12=Dashboard!$C$6),OR(Dashboard!$F$6="All",I12=Dashboard!$F$6),OR(Dashboard!$I$6="All",J12=Dashboard!$I$6),OR(Dashboard!$L$6="All",L12=Dashboard!$L$6)),K12,0)</f>
        <v>3008.52</v>
      </c>
      <c r="O12">
        <f>IF(AND(OR(Dashboard!$C$6="All",F12=Dashboard!$C$6),OR(Dashboard!$F$6="All",I12=Dashboard!$F$6),OR(Dashboard!$I$6="All",J12=Dashboard!$I$6),OR(Dashboard!$L$6="All",L12=Dashboard!$L$6)),G12,0)</f>
        <v>4</v>
      </c>
      <c r="P12">
        <f>IF(AND(OR(Dashboard!$C$6="All",F12=Dashboard!$C$6),OR(Dashboard!$F$6="All",I12=Dashboard!$F$6),OR(Dashboard!$I$6="All",J12=Dashboard!$I$6),OR(Dashboard!$L$6="All",L12=Dashboard!$L$6)),1,0)</f>
        <v>1</v>
      </c>
    </row>
    <row r="13" spans="1:16" x14ac:dyDescent="0.3">
      <c r="A13">
        <v>113</v>
      </c>
      <c r="B13" t="s">
        <v>67</v>
      </c>
      <c r="C13" t="s">
        <v>68</v>
      </c>
      <c r="D13" s="15">
        <v>45862</v>
      </c>
      <c r="E13" t="s">
        <v>69</v>
      </c>
      <c r="F13" t="s">
        <v>40</v>
      </c>
      <c r="G13">
        <v>1</v>
      </c>
      <c r="H13" s="16">
        <v>411.81</v>
      </c>
      <c r="I13" t="s">
        <v>55</v>
      </c>
      <c r="J13" t="s">
        <v>41</v>
      </c>
      <c r="K13" s="16">
        <v>411.81</v>
      </c>
      <c r="L13">
        <f t="shared" si="0"/>
        <v>2025</v>
      </c>
      <c r="M13" t="str">
        <f t="shared" si="1"/>
        <v>2025-Q3</v>
      </c>
      <c r="N13" s="16">
        <f>IF(AND(OR(Dashboard!$C$6="All",F13=Dashboard!$C$6),OR(Dashboard!$F$6="All",I13=Dashboard!$F$6),OR(Dashboard!$I$6="All",J13=Dashboard!$I$6),OR(Dashboard!$L$6="All",L13=Dashboard!$L$6)),K13,0)</f>
        <v>411.81</v>
      </c>
      <c r="O13">
        <f>IF(AND(OR(Dashboard!$C$6="All",F13=Dashboard!$C$6),OR(Dashboard!$F$6="All",I13=Dashboard!$F$6),OR(Dashboard!$I$6="All",J13=Dashboard!$I$6),OR(Dashboard!$L$6="All",L13=Dashboard!$L$6)),G13,0)</f>
        <v>1</v>
      </c>
      <c r="P13">
        <f>IF(AND(OR(Dashboard!$C$6="All",F13=Dashboard!$C$6),OR(Dashboard!$F$6="All",I13=Dashboard!$F$6),OR(Dashboard!$I$6="All",J13=Dashboard!$I$6),OR(Dashboard!$L$6="All",L13=Dashboard!$L$6)),1,0)</f>
        <v>1</v>
      </c>
    </row>
    <row r="14" spans="1:16" x14ac:dyDescent="0.3">
      <c r="A14">
        <v>115</v>
      </c>
      <c r="B14" t="s">
        <v>70</v>
      </c>
      <c r="C14" t="s">
        <v>71</v>
      </c>
      <c r="D14" s="15">
        <v>45667</v>
      </c>
      <c r="E14" t="s">
        <v>69</v>
      </c>
      <c r="F14" t="s">
        <v>40</v>
      </c>
      <c r="G14">
        <v>2</v>
      </c>
      <c r="H14" s="16">
        <v>796.84</v>
      </c>
      <c r="I14" t="s">
        <v>29</v>
      </c>
      <c r="J14" t="s">
        <v>50</v>
      </c>
      <c r="K14" s="16">
        <v>1593.68</v>
      </c>
      <c r="L14">
        <f t="shared" si="0"/>
        <v>2025</v>
      </c>
      <c r="M14" t="str">
        <f t="shared" si="1"/>
        <v>2025-Q1</v>
      </c>
      <c r="N14" s="16">
        <f>IF(AND(OR(Dashboard!$C$6="All",F14=Dashboard!$C$6),OR(Dashboard!$F$6="All",I14=Dashboard!$F$6),OR(Dashboard!$I$6="All",J14=Dashboard!$I$6),OR(Dashboard!$L$6="All",L14=Dashboard!$L$6)),K14,0)</f>
        <v>1593.68</v>
      </c>
      <c r="O14">
        <f>IF(AND(OR(Dashboard!$C$6="All",F14=Dashboard!$C$6),OR(Dashboard!$F$6="All",I14=Dashboard!$F$6),OR(Dashboard!$I$6="All",J14=Dashboard!$I$6),OR(Dashboard!$L$6="All",L14=Dashboard!$L$6)),G14,0)</f>
        <v>2</v>
      </c>
      <c r="P14">
        <f>IF(AND(OR(Dashboard!$C$6="All",F14=Dashboard!$C$6),OR(Dashboard!$F$6="All",I14=Dashboard!$F$6),OR(Dashboard!$I$6="All",J14=Dashboard!$I$6),OR(Dashboard!$L$6="All",L14=Dashboard!$L$6)),1,0)</f>
        <v>1</v>
      </c>
    </row>
    <row r="15" spans="1:16" x14ac:dyDescent="0.3">
      <c r="A15">
        <v>117</v>
      </c>
      <c r="B15" t="s">
        <v>72</v>
      </c>
      <c r="C15" t="s">
        <v>73</v>
      </c>
      <c r="D15" s="15">
        <v>45700</v>
      </c>
      <c r="E15" t="s">
        <v>27</v>
      </c>
      <c r="F15" t="s">
        <v>74</v>
      </c>
      <c r="G15">
        <v>2</v>
      </c>
      <c r="H15" s="16">
        <v>10000</v>
      </c>
      <c r="I15" t="s">
        <v>29</v>
      </c>
      <c r="J15" t="s">
        <v>41</v>
      </c>
      <c r="K15" s="16">
        <v>20000</v>
      </c>
      <c r="L15">
        <f t="shared" si="0"/>
        <v>2025</v>
      </c>
      <c r="M15" t="str">
        <f t="shared" si="1"/>
        <v>2025-Q1</v>
      </c>
      <c r="N15" s="16">
        <f>IF(AND(OR(Dashboard!$C$6="All",F15=Dashboard!$C$6),OR(Dashboard!$F$6="All",I15=Dashboard!$F$6),OR(Dashboard!$I$6="All",J15=Dashboard!$I$6),OR(Dashboard!$L$6="All",L15=Dashboard!$L$6)),K15,0)</f>
        <v>20000</v>
      </c>
      <c r="O15">
        <f>IF(AND(OR(Dashboard!$C$6="All",F15=Dashboard!$C$6),OR(Dashboard!$F$6="All",I15=Dashboard!$F$6),OR(Dashboard!$I$6="All",J15=Dashboard!$I$6),OR(Dashboard!$L$6="All",L15=Dashboard!$L$6)),G15,0)</f>
        <v>2</v>
      </c>
      <c r="P15">
        <f>IF(AND(OR(Dashboard!$C$6="All",F15=Dashboard!$C$6),OR(Dashboard!$F$6="All",I15=Dashboard!$F$6),OR(Dashboard!$I$6="All",J15=Dashboard!$I$6),OR(Dashboard!$L$6="All",L15=Dashboard!$L$6)),1,0)</f>
        <v>1</v>
      </c>
    </row>
    <row r="16" spans="1:16" x14ac:dyDescent="0.3">
      <c r="A16">
        <v>118</v>
      </c>
      <c r="B16" t="s">
        <v>75</v>
      </c>
      <c r="C16" t="s">
        <v>76</v>
      </c>
      <c r="D16" s="15">
        <v>45808</v>
      </c>
      <c r="E16" t="s">
        <v>39</v>
      </c>
      <c r="F16" t="s">
        <v>40</v>
      </c>
      <c r="G16">
        <v>5</v>
      </c>
      <c r="H16" s="16">
        <v>247.82</v>
      </c>
      <c r="I16" t="s">
        <v>35</v>
      </c>
      <c r="J16" t="s">
        <v>41</v>
      </c>
      <c r="K16" s="16">
        <v>1239.0999999999999</v>
      </c>
      <c r="L16">
        <f t="shared" si="0"/>
        <v>2025</v>
      </c>
      <c r="M16" t="str">
        <f t="shared" si="1"/>
        <v>2025-Q2</v>
      </c>
      <c r="N16" s="16">
        <f>IF(AND(OR(Dashboard!$C$6="All",F16=Dashboard!$C$6),OR(Dashboard!$F$6="All",I16=Dashboard!$F$6),OR(Dashboard!$I$6="All",J16=Dashboard!$I$6),OR(Dashboard!$L$6="All",L16=Dashboard!$L$6)),K16,0)</f>
        <v>1239.0999999999999</v>
      </c>
      <c r="O16">
        <f>IF(AND(OR(Dashboard!$C$6="All",F16=Dashboard!$C$6),OR(Dashboard!$F$6="All",I16=Dashboard!$F$6),OR(Dashboard!$I$6="All",J16=Dashboard!$I$6),OR(Dashboard!$L$6="All",L16=Dashboard!$L$6)),G16,0)</f>
        <v>5</v>
      </c>
      <c r="P16">
        <f>IF(AND(OR(Dashboard!$C$6="All",F16=Dashboard!$C$6),OR(Dashboard!$F$6="All",I16=Dashboard!$F$6),OR(Dashboard!$I$6="All",J16=Dashboard!$I$6),OR(Dashboard!$L$6="All",L16=Dashboard!$L$6)),1,0)</f>
        <v>1</v>
      </c>
    </row>
    <row r="17" spans="1:16" x14ac:dyDescent="0.3">
      <c r="A17">
        <v>119</v>
      </c>
      <c r="B17" t="s">
        <v>77</v>
      </c>
      <c r="C17" t="s">
        <v>78</v>
      </c>
      <c r="D17" s="15">
        <v>45645</v>
      </c>
      <c r="E17" t="s">
        <v>58</v>
      </c>
      <c r="F17" t="s">
        <v>34</v>
      </c>
      <c r="G17">
        <v>4</v>
      </c>
      <c r="H17" s="16">
        <v>438.19</v>
      </c>
      <c r="I17" t="s">
        <v>29</v>
      </c>
      <c r="J17" t="s">
        <v>41</v>
      </c>
      <c r="K17" s="16">
        <v>1752.76</v>
      </c>
      <c r="L17">
        <f t="shared" si="0"/>
        <v>2024</v>
      </c>
      <c r="M17" t="str">
        <f t="shared" si="1"/>
        <v>2024-Q4</v>
      </c>
      <c r="N17" s="16">
        <f>IF(AND(OR(Dashboard!$C$6="All",F17=Dashboard!$C$6),OR(Dashboard!$F$6="All",I17=Dashboard!$F$6),OR(Dashboard!$I$6="All",J17=Dashboard!$I$6),OR(Dashboard!$L$6="All",L17=Dashboard!$L$6)),K17,0)</f>
        <v>1752.76</v>
      </c>
      <c r="O17">
        <f>IF(AND(OR(Dashboard!$C$6="All",F17=Dashboard!$C$6),OR(Dashboard!$F$6="All",I17=Dashboard!$F$6),OR(Dashboard!$I$6="All",J17=Dashboard!$I$6),OR(Dashboard!$L$6="All",L17=Dashboard!$L$6)),G17,0)</f>
        <v>4</v>
      </c>
      <c r="P17">
        <f>IF(AND(OR(Dashboard!$C$6="All",F17=Dashboard!$C$6),OR(Dashboard!$F$6="All",I17=Dashboard!$F$6),OR(Dashboard!$I$6="All",J17=Dashboard!$I$6),OR(Dashboard!$L$6="All",L17=Dashboard!$L$6)),1,0)</f>
        <v>1</v>
      </c>
    </row>
    <row r="18" spans="1:16" x14ac:dyDescent="0.3">
      <c r="A18">
        <v>120</v>
      </c>
      <c r="B18" t="s">
        <v>79</v>
      </c>
      <c r="C18" t="s">
        <v>80</v>
      </c>
      <c r="D18" s="15">
        <v>45821</v>
      </c>
      <c r="E18" t="s">
        <v>81</v>
      </c>
      <c r="F18" t="s">
        <v>74</v>
      </c>
      <c r="G18">
        <v>5</v>
      </c>
      <c r="H18" s="16">
        <v>300</v>
      </c>
      <c r="I18" t="s">
        <v>55</v>
      </c>
      <c r="J18" t="s">
        <v>47</v>
      </c>
      <c r="K18" s="16">
        <v>1500</v>
      </c>
      <c r="L18">
        <f t="shared" si="0"/>
        <v>2025</v>
      </c>
      <c r="M18" t="str">
        <f t="shared" si="1"/>
        <v>2025-Q2</v>
      </c>
      <c r="N18" s="16">
        <f>IF(AND(OR(Dashboard!$C$6="All",F18=Dashboard!$C$6),OR(Dashboard!$F$6="All",I18=Dashboard!$F$6),OR(Dashboard!$I$6="All",J18=Dashboard!$I$6),OR(Dashboard!$L$6="All",L18=Dashboard!$L$6)),K18,0)</f>
        <v>1500</v>
      </c>
      <c r="O18">
        <f>IF(AND(OR(Dashboard!$C$6="All",F18=Dashboard!$C$6),OR(Dashboard!$F$6="All",I18=Dashboard!$F$6),OR(Dashboard!$I$6="All",J18=Dashboard!$I$6),OR(Dashboard!$L$6="All",L18=Dashboard!$L$6)),G18,0)</f>
        <v>5</v>
      </c>
      <c r="P18">
        <f>IF(AND(OR(Dashboard!$C$6="All",F18=Dashboard!$C$6),OR(Dashboard!$F$6="All",I18=Dashboard!$F$6),OR(Dashboard!$I$6="All",J18=Dashboard!$I$6),OR(Dashboard!$L$6="All",L18=Dashboard!$L$6)),1,0)</f>
        <v>1</v>
      </c>
    </row>
    <row r="19" spans="1:16" x14ac:dyDescent="0.3">
      <c r="A19">
        <v>121</v>
      </c>
      <c r="B19" t="s">
        <v>82</v>
      </c>
      <c r="C19" t="s">
        <v>83</v>
      </c>
      <c r="D19" s="15">
        <v>45941</v>
      </c>
      <c r="E19" t="s">
        <v>58</v>
      </c>
      <c r="F19" t="s">
        <v>34</v>
      </c>
      <c r="G19">
        <v>4</v>
      </c>
      <c r="H19" s="16">
        <v>523.01</v>
      </c>
      <c r="I19" t="s">
        <v>55</v>
      </c>
      <c r="J19" t="s">
        <v>36</v>
      </c>
      <c r="K19" s="16">
        <v>2092.04</v>
      </c>
      <c r="L19">
        <f t="shared" si="0"/>
        <v>2025</v>
      </c>
      <c r="M19" t="str">
        <f t="shared" si="1"/>
        <v>2025-Q4</v>
      </c>
      <c r="N19" s="16">
        <f>IF(AND(OR(Dashboard!$C$6="All",F19=Dashboard!$C$6),OR(Dashboard!$F$6="All",I19=Dashboard!$F$6),OR(Dashboard!$I$6="All",J19=Dashboard!$I$6),OR(Dashboard!$L$6="All",L19=Dashboard!$L$6)),K19,0)</f>
        <v>2092.04</v>
      </c>
      <c r="O19">
        <f>IF(AND(OR(Dashboard!$C$6="All",F19=Dashboard!$C$6),OR(Dashboard!$F$6="All",I19=Dashboard!$F$6),OR(Dashboard!$I$6="All",J19=Dashboard!$I$6),OR(Dashboard!$L$6="All",L19=Dashboard!$L$6)),G19,0)</f>
        <v>4</v>
      </c>
      <c r="P19">
        <f>IF(AND(OR(Dashboard!$C$6="All",F19=Dashboard!$C$6),OR(Dashboard!$F$6="All",I19=Dashboard!$F$6),OR(Dashboard!$I$6="All",J19=Dashboard!$I$6),OR(Dashboard!$L$6="All",L19=Dashboard!$L$6)),1,0)</f>
        <v>1</v>
      </c>
    </row>
    <row r="20" spans="1:16" x14ac:dyDescent="0.3">
      <c r="A20">
        <v>122</v>
      </c>
      <c r="B20" t="s">
        <v>84</v>
      </c>
      <c r="C20" t="s">
        <v>85</v>
      </c>
      <c r="D20" s="15">
        <v>45793</v>
      </c>
      <c r="E20" t="s">
        <v>86</v>
      </c>
      <c r="F20" t="s">
        <v>28</v>
      </c>
      <c r="G20">
        <v>2</v>
      </c>
      <c r="H20" s="16">
        <v>556.92999999999995</v>
      </c>
      <c r="I20" t="s">
        <v>35</v>
      </c>
      <c r="J20" t="s">
        <v>30</v>
      </c>
      <c r="K20" s="16">
        <v>1113.8599999999999</v>
      </c>
      <c r="L20">
        <f t="shared" si="0"/>
        <v>2025</v>
      </c>
      <c r="M20" t="str">
        <f t="shared" si="1"/>
        <v>2025-Q2</v>
      </c>
      <c r="N20" s="16">
        <f>IF(AND(OR(Dashboard!$C$6="All",F20=Dashboard!$C$6),OR(Dashboard!$F$6="All",I20=Dashboard!$F$6),OR(Dashboard!$I$6="All",J20=Dashboard!$I$6),OR(Dashboard!$L$6="All",L20=Dashboard!$L$6)),K20,0)</f>
        <v>1113.8599999999999</v>
      </c>
      <c r="O20">
        <f>IF(AND(OR(Dashboard!$C$6="All",F20=Dashboard!$C$6),OR(Dashboard!$F$6="All",I20=Dashboard!$F$6),OR(Dashboard!$I$6="All",J20=Dashboard!$I$6),OR(Dashboard!$L$6="All",L20=Dashboard!$L$6)),G20,0)</f>
        <v>2</v>
      </c>
      <c r="P20">
        <f>IF(AND(OR(Dashboard!$C$6="All",F20=Dashboard!$C$6),OR(Dashboard!$F$6="All",I20=Dashboard!$F$6),OR(Dashboard!$I$6="All",J20=Dashboard!$I$6),OR(Dashboard!$L$6="All",L20=Dashboard!$L$6)),1,0)</f>
        <v>1</v>
      </c>
    </row>
    <row r="21" spans="1:16" x14ac:dyDescent="0.3">
      <c r="A21">
        <v>123</v>
      </c>
      <c r="B21" t="s">
        <v>87</v>
      </c>
      <c r="C21" t="s">
        <v>88</v>
      </c>
      <c r="D21" s="15">
        <v>45936</v>
      </c>
      <c r="E21" t="s">
        <v>89</v>
      </c>
      <c r="F21" t="s">
        <v>74</v>
      </c>
      <c r="G21">
        <v>3</v>
      </c>
      <c r="H21" s="16">
        <v>615.91</v>
      </c>
      <c r="I21" t="s">
        <v>29</v>
      </c>
      <c r="J21" t="s">
        <v>47</v>
      </c>
      <c r="K21" s="16">
        <v>1847.73</v>
      </c>
      <c r="L21">
        <f t="shared" si="0"/>
        <v>2025</v>
      </c>
      <c r="M21" t="str">
        <f t="shared" si="1"/>
        <v>2025-Q4</v>
      </c>
      <c r="N21" s="16">
        <f>IF(AND(OR(Dashboard!$C$6="All",F21=Dashboard!$C$6),OR(Dashboard!$F$6="All",I21=Dashboard!$F$6),OR(Dashboard!$I$6="All",J21=Dashboard!$I$6),OR(Dashboard!$L$6="All",L21=Dashboard!$L$6)),K21,0)</f>
        <v>1847.73</v>
      </c>
      <c r="O21">
        <f>IF(AND(OR(Dashboard!$C$6="All",F21=Dashboard!$C$6),OR(Dashboard!$F$6="All",I21=Dashboard!$F$6),OR(Dashboard!$I$6="All",J21=Dashboard!$I$6),OR(Dashboard!$L$6="All",L21=Dashboard!$L$6)),G21,0)</f>
        <v>3</v>
      </c>
      <c r="P21">
        <f>IF(AND(OR(Dashboard!$C$6="All",F21=Dashboard!$C$6),OR(Dashboard!$F$6="All",I21=Dashboard!$F$6),OR(Dashboard!$I$6="All",J21=Dashboard!$I$6),OR(Dashboard!$L$6="All",L21=Dashboard!$L$6)),1,0)</f>
        <v>1</v>
      </c>
    </row>
    <row r="22" spans="1:16" x14ac:dyDescent="0.3">
      <c r="A22">
        <v>125</v>
      </c>
      <c r="B22" t="s">
        <v>90</v>
      </c>
      <c r="C22" t="s">
        <v>91</v>
      </c>
      <c r="D22" s="15">
        <v>45697</v>
      </c>
      <c r="E22" t="s">
        <v>61</v>
      </c>
      <c r="F22" t="s">
        <v>40</v>
      </c>
      <c r="G22">
        <v>4</v>
      </c>
      <c r="H22" s="16">
        <v>765.69</v>
      </c>
      <c r="I22" t="s">
        <v>35</v>
      </c>
      <c r="J22" t="s">
        <v>30</v>
      </c>
      <c r="K22" s="16">
        <v>3062.76</v>
      </c>
      <c r="L22">
        <f t="shared" si="0"/>
        <v>2025</v>
      </c>
      <c r="M22" t="str">
        <f t="shared" si="1"/>
        <v>2025-Q1</v>
      </c>
      <c r="N22" s="16">
        <f>IF(AND(OR(Dashboard!$C$6="All",F22=Dashboard!$C$6),OR(Dashboard!$F$6="All",I22=Dashboard!$F$6),OR(Dashboard!$I$6="All",J22=Dashboard!$I$6),OR(Dashboard!$L$6="All",L22=Dashboard!$L$6)),K22,0)</f>
        <v>3062.76</v>
      </c>
      <c r="O22">
        <f>IF(AND(OR(Dashboard!$C$6="All",F22=Dashboard!$C$6),OR(Dashboard!$F$6="All",I22=Dashboard!$F$6),OR(Dashboard!$I$6="All",J22=Dashboard!$I$6),OR(Dashboard!$L$6="All",L22=Dashboard!$L$6)),G22,0)</f>
        <v>4</v>
      </c>
      <c r="P22">
        <f>IF(AND(OR(Dashboard!$C$6="All",F22=Dashboard!$C$6),OR(Dashboard!$F$6="All",I22=Dashboard!$F$6),OR(Dashboard!$I$6="All",J22=Dashboard!$I$6),OR(Dashboard!$L$6="All",L22=Dashboard!$L$6)),1,0)</f>
        <v>1</v>
      </c>
    </row>
    <row r="23" spans="1:16" x14ac:dyDescent="0.3">
      <c r="A23">
        <v>126</v>
      </c>
      <c r="B23" t="s">
        <v>92</v>
      </c>
      <c r="C23" t="s">
        <v>93</v>
      </c>
      <c r="D23" s="15">
        <v>45795</v>
      </c>
      <c r="E23" t="s">
        <v>64</v>
      </c>
      <c r="F23" t="s">
        <v>65</v>
      </c>
      <c r="G23">
        <v>4</v>
      </c>
      <c r="H23" s="16">
        <v>836.8</v>
      </c>
      <c r="I23" t="s">
        <v>66</v>
      </c>
      <c r="J23" t="s">
        <v>47</v>
      </c>
      <c r="K23" s="16">
        <v>3347.2</v>
      </c>
      <c r="L23">
        <f t="shared" si="0"/>
        <v>2025</v>
      </c>
      <c r="M23" t="str">
        <f t="shared" si="1"/>
        <v>2025-Q2</v>
      </c>
      <c r="N23" s="16">
        <f>IF(AND(OR(Dashboard!$C$6="All",F23=Dashboard!$C$6),OR(Dashboard!$F$6="All",I23=Dashboard!$F$6),OR(Dashboard!$I$6="All",J23=Dashboard!$I$6),OR(Dashboard!$L$6="All",L23=Dashboard!$L$6)),K23,0)</f>
        <v>3347.2</v>
      </c>
      <c r="O23">
        <f>IF(AND(OR(Dashboard!$C$6="All",F23=Dashboard!$C$6),OR(Dashboard!$F$6="All",I23=Dashboard!$F$6),OR(Dashboard!$I$6="All",J23=Dashboard!$I$6),OR(Dashboard!$L$6="All",L23=Dashboard!$L$6)),G23,0)</f>
        <v>4</v>
      </c>
      <c r="P23">
        <f>IF(AND(OR(Dashboard!$C$6="All",F23=Dashboard!$C$6),OR(Dashboard!$F$6="All",I23=Dashboard!$F$6),OR(Dashboard!$I$6="All",J23=Dashboard!$I$6),OR(Dashboard!$L$6="All",L23=Dashboard!$L$6)),1,0)</f>
        <v>1</v>
      </c>
    </row>
    <row r="24" spans="1:16" x14ac:dyDescent="0.3">
      <c r="A24">
        <v>127</v>
      </c>
      <c r="B24" t="s">
        <v>94</v>
      </c>
      <c r="C24" t="s">
        <v>95</v>
      </c>
      <c r="D24" s="15">
        <v>45789</v>
      </c>
      <c r="E24" t="s">
        <v>27</v>
      </c>
      <c r="F24" t="s">
        <v>28</v>
      </c>
      <c r="G24">
        <v>5</v>
      </c>
      <c r="H24" s="16">
        <v>336.02</v>
      </c>
      <c r="I24" t="s">
        <v>66</v>
      </c>
      <c r="J24" t="s">
        <v>50</v>
      </c>
      <c r="K24" s="16">
        <v>1680.1</v>
      </c>
      <c r="L24">
        <f t="shared" si="0"/>
        <v>2025</v>
      </c>
      <c r="M24" t="str">
        <f t="shared" si="1"/>
        <v>2025-Q2</v>
      </c>
      <c r="N24" s="16">
        <f>IF(AND(OR(Dashboard!$C$6="All",F24=Dashboard!$C$6),OR(Dashboard!$F$6="All",I24=Dashboard!$F$6),OR(Dashboard!$I$6="All",J24=Dashboard!$I$6),OR(Dashboard!$L$6="All",L24=Dashboard!$L$6)),K24,0)</f>
        <v>1680.1</v>
      </c>
      <c r="O24">
        <f>IF(AND(OR(Dashboard!$C$6="All",F24=Dashboard!$C$6),OR(Dashboard!$F$6="All",I24=Dashboard!$F$6),OR(Dashboard!$I$6="All",J24=Dashboard!$I$6),OR(Dashboard!$L$6="All",L24=Dashboard!$L$6)),G24,0)</f>
        <v>5</v>
      </c>
      <c r="P24">
        <f>IF(AND(OR(Dashboard!$C$6="All",F24=Dashboard!$C$6),OR(Dashboard!$F$6="All",I24=Dashboard!$F$6),OR(Dashboard!$I$6="All",J24=Dashboard!$I$6),OR(Dashboard!$L$6="All",L24=Dashboard!$L$6)),1,0)</f>
        <v>1</v>
      </c>
    </row>
    <row r="25" spans="1:16" x14ac:dyDescent="0.3">
      <c r="A25">
        <v>128</v>
      </c>
      <c r="B25" t="s">
        <v>96</v>
      </c>
      <c r="C25" t="s">
        <v>97</v>
      </c>
      <c r="D25" s="15">
        <v>45606</v>
      </c>
      <c r="E25" t="s">
        <v>98</v>
      </c>
      <c r="F25" t="s">
        <v>74</v>
      </c>
      <c r="G25">
        <v>3</v>
      </c>
      <c r="H25" s="16">
        <v>898.69</v>
      </c>
      <c r="I25" t="s">
        <v>66</v>
      </c>
      <c r="J25" t="s">
        <v>36</v>
      </c>
      <c r="K25" s="16">
        <v>2696.07</v>
      </c>
      <c r="L25">
        <f t="shared" si="0"/>
        <v>2024</v>
      </c>
      <c r="M25" t="str">
        <f t="shared" si="1"/>
        <v>2024-Q4</v>
      </c>
      <c r="N25" s="16">
        <f>IF(AND(OR(Dashboard!$C$6="All",F25=Dashboard!$C$6),OR(Dashboard!$F$6="All",I25=Dashboard!$F$6),OR(Dashboard!$I$6="All",J25=Dashboard!$I$6),OR(Dashboard!$L$6="All",L25=Dashboard!$L$6)),K25,0)</f>
        <v>2696.07</v>
      </c>
      <c r="O25">
        <f>IF(AND(OR(Dashboard!$C$6="All",F25=Dashboard!$C$6),OR(Dashboard!$F$6="All",I25=Dashboard!$F$6),OR(Dashboard!$I$6="All",J25=Dashboard!$I$6),OR(Dashboard!$L$6="All",L25=Dashboard!$L$6)),G25,0)</f>
        <v>3</v>
      </c>
      <c r="P25">
        <f>IF(AND(OR(Dashboard!$C$6="All",F25=Dashboard!$C$6),OR(Dashboard!$F$6="All",I25=Dashboard!$F$6),OR(Dashboard!$I$6="All",J25=Dashboard!$I$6),OR(Dashboard!$L$6="All",L25=Dashboard!$L$6)),1,0)</f>
        <v>1</v>
      </c>
    </row>
    <row r="26" spans="1:16" x14ac:dyDescent="0.3">
      <c r="A26">
        <v>129</v>
      </c>
      <c r="B26" t="s">
        <v>99</v>
      </c>
      <c r="C26" t="s">
        <v>100</v>
      </c>
      <c r="D26" s="15">
        <v>45830</v>
      </c>
      <c r="E26" t="s">
        <v>39</v>
      </c>
      <c r="F26" t="s">
        <v>40</v>
      </c>
      <c r="G26">
        <v>4</v>
      </c>
      <c r="H26" s="16">
        <v>736.71</v>
      </c>
      <c r="I26" t="s">
        <v>66</v>
      </c>
      <c r="J26" t="s">
        <v>50</v>
      </c>
      <c r="K26" s="16">
        <v>2946.84</v>
      </c>
      <c r="L26">
        <f t="shared" si="0"/>
        <v>2025</v>
      </c>
      <c r="M26" t="str">
        <f t="shared" si="1"/>
        <v>2025-Q2</v>
      </c>
      <c r="N26" s="16">
        <f>IF(AND(OR(Dashboard!$C$6="All",F26=Dashboard!$C$6),OR(Dashboard!$F$6="All",I26=Dashboard!$F$6),OR(Dashboard!$I$6="All",J26=Dashboard!$I$6),OR(Dashboard!$L$6="All",L26=Dashboard!$L$6)),K26,0)</f>
        <v>2946.84</v>
      </c>
      <c r="O26">
        <f>IF(AND(OR(Dashboard!$C$6="All",F26=Dashboard!$C$6),OR(Dashboard!$F$6="All",I26=Dashboard!$F$6),OR(Dashboard!$I$6="All",J26=Dashboard!$I$6),OR(Dashboard!$L$6="All",L26=Dashboard!$L$6)),G26,0)</f>
        <v>4</v>
      </c>
      <c r="P26">
        <f>IF(AND(OR(Dashboard!$C$6="All",F26=Dashboard!$C$6),OR(Dashboard!$F$6="All",I26=Dashboard!$F$6),OR(Dashboard!$I$6="All",J26=Dashboard!$I$6),OR(Dashboard!$L$6="All",L26=Dashboard!$L$6)),1,0)</f>
        <v>1</v>
      </c>
    </row>
    <row r="27" spans="1:16" x14ac:dyDescent="0.3">
      <c r="A27">
        <v>131</v>
      </c>
      <c r="B27" t="s">
        <v>101</v>
      </c>
      <c r="C27" t="s">
        <v>102</v>
      </c>
      <c r="D27" s="15">
        <v>45819</v>
      </c>
      <c r="E27" t="s">
        <v>98</v>
      </c>
      <c r="F27" t="s">
        <v>28</v>
      </c>
      <c r="G27">
        <v>5</v>
      </c>
      <c r="H27" s="16">
        <v>616.63</v>
      </c>
      <c r="I27" t="s">
        <v>35</v>
      </c>
      <c r="J27" t="s">
        <v>30</v>
      </c>
      <c r="K27" s="16">
        <v>3083.15</v>
      </c>
      <c r="L27">
        <f t="shared" si="0"/>
        <v>2025</v>
      </c>
      <c r="M27" t="str">
        <f t="shared" si="1"/>
        <v>2025-Q2</v>
      </c>
      <c r="N27" s="16">
        <f>IF(AND(OR(Dashboard!$C$6="All",F27=Dashboard!$C$6),OR(Dashboard!$F$6="All",I27=Dashboard!$F$6),OR(Dashboard!$I$6="All",J27=Dashboard!$I$6),OR(Dashboard!$L$6="All",L27=Dashboard!$L$6)),K27,0)</f>
        <v>3083.15</v>
      </c>
      <c r="O27">
        <f>IF(AND(OR(Dashboard!$C$6="All",F27=Dashboard!$C$6),OR(Dashboard!$F$6="All",I27=Dashboard!$F$6),OR(Dashboard!$I$6="All",J27=Dashboard!$I$6),OR(Dashboard!$L$6="All",L27=Dashboard!$L$6)),G27,0)</f>
        <v>5</v>
      </c>
      <c r="P27">
        <f>IF(AND(OR(Dashboard!$C$6="All",F27=Dashboard!$C$6),OR(Dashboard!$F$6="All",I27=Dashboard!$F$6),OR(Dashboard!$I$6="All",J27=Dashboard!$I$6),OR(Dashboard!$L$6="All",L27=Dashboard!$L$6)),1,0)</f>
        <v>1</v>
      </c>
    </row>
    <row r="28" spans="1:16" x14ac:dyDescent="0.3">
      <c r="A28">
        <v>132</v>
      </c>
      <c r="B28" t="s">
        <v>103</v>
      </c>
      <c r="C28" t="s">
        <v>104</v>
      </c>
      <c r="D28" s="15">
        <v>45749</v>
      </c>
      <c r="E28" t="s">
        <v>81</v>
      </c>
      <c r="F28" t="s">
        <v>74</v>
      </c>
      <c r="G28">
        <v>1</v>
      </c>
      <c r="H28" s="16">
        <v>266.7</v>
      </c>
      <c r="I28" t="s">
        <v>35</v>
      </c>
      <c r="J28" t="s">
        <v>36</v>
      </c>
      <c r="K28" s="16">
        <v>266.7</v>
      </c>
      <c r="L28">
        <f t="shared" si="0"/>
        <v>2025</v>
      </c>
      <c r="M28" t="str">
        <f t="shared" si="1"/>
        <v>2025-Q2</v>
      </c>
      <c r="N28" s="16">
        <f>IF(AND(OR(Dashboard!$C$6="All",F28=Dashboard!$C$6),OR(Dashboard!$F$6="All",I28=Dashboard!$F$6),OR(Dashboard!$I$6="All",J28=Dashboard!$I$6),OR(Dashboard!$L$6="All",L28=Dashboard!$L$6)),K28,0)</f>
        <v>266.7</v>
      </c>
      <c r="O28">
        <f>IF(AND(OR(Dashboard!$C$6="All",F28=Dashboard!$C$6),OR(Dashboard!$F$6="All",I28=Dashboard!$F$6),OR(Dashboard!$I$6="All",J28=Dashboard!$I$6),OR(Dashboard!$L$6="All",L28=Dashboard!$L$6)),G28,0)</f>
        <v>1</v>
      </c>
      <c r="P28">
        <f>IF(AND(OR(Dashboard!$C$6="All",F28=Dashboard!$C$6),OR(Dashboard!$F$6="All",I28=Dashboard!$F$6),OR(Dashboard!$I$6="All",J28=Dashboard!$I$6),OR(Dashboard!$L$6="All",L28=Dashboard!$L$6)),1,0)</f>
        <v>1</v>
      </c>
    </row>
    <row r="29" spans="1:16" x14ac:dyDescent="0.3">
      <c r="A29">
        <v>134</v>
      </c>
      <c r="B29" t="s">
        <v>105</v>
      </c>
      <c r="C29" t="s">
        <v>106</v>
      </c>
      <c r="D29" s="15">
        <v>45934</v>
      </c>
      <c r="E29" t="s">
        <v>107</v>
      </c>
      <c r="F29" t="s">
        <v>65</v>
      </c>
      <c r="G29">
        <v>5</v>
      </c>
      <c r="H29" s="16">
        <v>591.53</v>
      </c>
      <c r="I29" t="s">
        <v>35</v>
      </c>
      <c r="J29" t="s">
        <v>30</v>
      </c>
      <c r="K29" s="16">
        <v>2957.65</v>
      </c>
      <c r="L29">
        <f t="shared" si="0"/>
        <v>2025</v>
      </c>
      <c r="M29" t="str">
        <f t="shared" si="1"/>
        <v>2025-Q4</v>
      </c>
      <c r="N29" s="16">
        <f>IF(AND(OR(Dashboard!$C$6="All",F29=Dashboard!$C$6),OR(Dashboard!$F$6="All",I29=Dashboard!$F$6),OR(Dashboard!$I$6="All",J29=Dashboard!$I$6),OR(Dashboard!$L$6="All",L29=Dashboard!$L$6)),K29,0)</f>
        <v>2957.65</v>
      </c>
      <c r="O29">
        <f>IF(AND(OR(Dashboard!$C$6="All",F29=Dashboard!$C$6),OR(Dashboard!$F$6="All",I29=Dashboard!$F$6),OR(Dashboard!$I$6="All",J29=Dashboard!$I$6),OR(Dashboard!$L$6="All",L29=Dashboard!$L$6)),G29,0)</f>
        <v>5</v>
      </c>
      <c r="P29">
        <f>IF(AND(OR(Dashboard!$C$6="All",F29=Dashboard!$C$6),OR(Dashboard!$F$6="All",I29=Dashboard!$F$6),OR(Dashboard!$I$6="All",J29=Dashboard!$I$6),OR(Dashboard!$L$6="All",L29=Dashboard!$L$6)),1,0)</f>
        <v>1</v>
      </c>
    </row>
    <row r="30" spans="1:16" x14ac:dyDescent="0.3">
      <c r="A30">
        <v>135</v>
      </c>
      <c r="B30" t="s">
        <v>108</v>
      </c>
      <c r="C30" t="s">
        <v>109</v>
      </c>
      <c r="D30" s="15">
        <v>45697</v>
      </c>
      <c r="E30" t="s">
        <v>110</v>
      </c>
      <c r="F30" t="s">
        <v>74</v>
      </c>
      <c r="G30">
        <v>4</v>
      </c>
      <c r="H30" s="16">
        <v>446.19</v>
      </c>
      <c r="I30" t="s">
        <v>29</v>
      </c>
      <c r="J30" t="s">
        <v>47</v>
      </c>
      <c r="K30" s="16">
        <v>1784.76</v>
      </c>
      <c r="L30">
        <f t="shared" si="0"/>
        <v>2025</v>
      </c>
      <c r="M30" t="str">
        <f t="shared" si="1"/>
        <v>2025-Q1</v>
      </c>
      <c r="N30" s="16">
        <f>IF(AND(OR(Dashboard!$C$6="All",F30=Dashboard!$C$6),OR(Dashboard!$F$6="All",I30=Dashboard!$F$6),OR(Dashboard!$I$6="All",J30=Dashboard!$I$6),OR(Dashboard!$L$6="All",L30=Dashboard!$L$6)),K30,0)</f>
        <v>1784.76</v>
      </c>
      <c r="O30">
        <f>IF(AND(OR(Dashboard!$C$6="All",F30=Dashboard!$C$6),OR(Dashboard!$F$6="All",I30=Dashboard!$F$6),OR(Dashboard!$I$6="All",J30=Dashboard!$I$6),OR(Dashboard!$L$6="All",L30=Dashboard!$L$6)),G30,0)</f>
        <v>4</v>
      </c>
      <c r="P30">
        <f>IF(AND(OR(Dashboard!$C$6="All",F30=Dashboard!$C$6),OR(Dashboard!$F$6="All",I30=Dashboard!$F$6),OR(Dashboard!$I$6="All",J30=Dashboard!$I$6),OR(Dashboard!$L$6="All",L30=Dashboard!$L$6)),1,0)</f>
        <v>1</v>
      </c>
    </row>
    <row r="31" spans="1:16" x14ac:dyDescent="0.3">
      <c r="A31">
        <v>137</v>
      </c>
      <c r="B31" t="s">
        <v>111</v>
      </c>
      <c r="C31" t="s">
        <v>112</v>
      </c>
      <c r="D31" s="15">
        <v>45711</v>
      </c>
      <c r="E31" t="s">
        <v>89</v>
      </c>
      <c r="F31" t="s">
        <v>28</v>
      </c>
      <c r="G31">
        <v>3</v>
      </c>
      <c r="H31" s="16">
        <v>-100</v>
      </c>
      <c r="I31" t="s">
        <v>29</v>
      </c>
      <c r="J31" t="s">
        <v>36</v>
      </c>
      <c r="K31" s="16">
        <v>-300</v>
      </c>
      <c r="L31">
        <f t="shared" si="0"/>
        <v>2025</v>
      </c>
      <c r="M31" t="str">
        <f t="shared" si="1"/>
        <v>2025-Q1</v>
      </c>
      <c r="N31" s="16">
        <f>IF(AND(OR(Dashboard!$C$6="All",F31=Dashboard!$C$6),OR(Dashboard!$F$6="All",I31=Dashboard!$F$6),OR(Dashboard!$I$6="All",J31=Dashboard!$I$6),OR(Dashboard!$L$6="All",L31=Dashboard!$L$6)),K31,0)</f>
        <v>-300</v>
      </c>
      <c r="O31">
        <f>IF(AND(OR(Dashboard!$C$6="All",F31=Dashboard!$C$6),OR(Dashboard!$F$6="All",I31=Dashboard!$F$6),OR(Dashboard!$I$6="All",J31=Dashboard!$I$6),OR(Dashboard!$L$6="All",L31=Dashboard!$L$6)),G31,0)</f>
        <v>3</v>
      </c>
      <c r="P31">
        <f>IF(AND(OR(Dashboard!$C$6="All",F31=Dashboard!$C$6),OR(Dashboard!$F$6="All",I31=Dashboard!$F$6),OR(Dashboard!$I$6="All",J31=Dashboard!$I$6),OR(Dashboard!$L$6="All",L31=Dashboard!$L$6)),1,0)</f>
        <v>1</v>
      </c>
    </row>
    <row r="32" spans="1:16" x14ac:dyDescent="0.3">
      <c r="A32">
        <v>138</v>
      </c>
      <c r="B32" t="s">
        <v>113</v>
      </c>
      <c r="C32" t="s">
        <v>114</v>
      </c>
      <c r="D32" s="15">
        <v>45878</v>
      </c>
      <c r="E32" t="s">
        <v>98</v>
      </c>
      <c r="F32" t="s">
        <v>28</v>
      </c>
      <c r="G32">
        <v>1</v>
      </c>
      <c r="H32" s="16">
        <v>531.05999999999995</v>
      </c>
      <c r="I32" t="s">
        <v>35</v>
      </c>
      <c r="J32" t="s">
        <v>41</v>
      </c>
      <c r="K32" s="16">
        <v>531.05999999999995</v>
      </c>
      <c r="L32">
        <f t="shared" si="0"/>
        <v>2025</v>
      </c>
      <c r="M32" t="str">
        <f t="shared" si="1"/>
        <v>2025-Q3</v>
      </c>
      <c r="N32" s="16">
        <f>IF(AND(OR(Dashboard!$C$6="All",F32=Dashboard!$C$6),OR(Dashboard!$F$6="All",I32=Dashboard!$F$6),OR(Dashboard!$I$6="All",J32=Dashboard!$I$6),OR(Dashboard!$L$6="All",L32=Dashboard!$L$6)),K32,0)</f>
        <v>531.05999999999995</v>
      </c>
      <c r="O32">
        <f>IF(AND(OR(Dashboard!$C$6="All",F32=Dashboard!$C$6),OR(Dashboard!$F$6="All",I32=Dashboard!$F$6),OR(Dashboard!$I$6="All",J32=Dashboard!$I$6),OR(Dashboard!$L$6="All",L32=Dashboard!$L$6)),G32,0)</f>
        <v>1</v>
      </c>
      <c r="P32">
        <f>IF(AND(OR(Dashboard!$C$6="All",F32=Dashboard!$C$6),OR(Dashboard!$F$6="All",I32=Dashboard!$F$6),OR(Dashboard!$I$6="All",J32=Dashboard!$I$6),OR(Dashboard!$L$6="All",L32=Dashboard!$L$6)),1,0)</f>
        <v>1</v>
      </c>
    </row>
    <row r="33" spans="1:16" x14ac:dyDescent="0.3">
      <c r="A33">
        <v>139</v>
      </c>
      <c r="B33" t="s">
        <v>115</v>
      </c>
      <c r="C33" t="s">
        <v>116</v>
      </c>
      <c r="D33" s="15">
        <v>45697</v>
      </c>
      <c r="E33" t="s">
        <v>117</v>
      </c>
      <c r="F33" t="s">
        <v>74</v>
      </c>
      <c r="G33">
        <v>2</v>
      </c>
      <c r="H33" s="16">
        <v>681.38</v>
      </c>
      <c r="I33" t="s">
        <v>55</v>
      </c>
      <c r="J33" t="s">
        <v>47</v>
      </c>
      <c r="K33" s="16">
        <v>1362.76</v>
      </c>
      <c r="L33">
        <f t="shared" si="0"/>
        <v>2025</v>
      </c>
      <c r="M33" t="str">
        <f t="shared" si="1"/>
        <v>2025-Q1</v>
      </c>
      <c r="N33" s="16">
        <f>IF(AND(OR(Dashboard!$C$6="All",F33=Dashboard!$C$6),OR(Dashboard!$F$6="All",I33=Dashboard!$F$6),OR(Dashboard!$I$6="All",J33=Dashboard!$I$6),OR(Dashboard!$L$6="All",L33=Dashboard!$L$6)),K33,0)</f>
        <v>1362.76</v>
      </c>
      <c r="O33">
        <f>IF(AND(OR(Dashboard!$C$6="All",F33=Dashboard!$C$6),OR(Dashboard!$F$6="All",I33=Dashboard!$F$6),OR(Dashboard!$I$6="All",J33=Dashboard!$I$6),OR(Dashboard!$L$6="All",L33=Dashboard!$L$6)),G33,0)</f>
        <v>2</v>
      </c>
      <c r="P33">
        <f>IF(AND(OR(Dashboard!$C$6="All",F33=Dashboard!$C$6),OR(Dashboard!$F$6="All",I33=Dashboard!$F$6),OR(Dashboard!$I$6="All",J33=Dashboard!$I$6),OR(Dashboard!$L$6="All",L33=Dashboard!$L$6)),1,0)</f>
        <v>1</v>
      </c>
    </row>
    <row r="34" spans="1:16" x14ac:dyDescent="0.3">
      <c r="A34">
        <v>140</v>
      </c>
      <c r="B34" t="s">
        <v>118</v>
      </c>
      <c r="C34" t="s">
        <v>119</v>
      </c>
      <c r="D34" s="15">
        <v>45714</v>
      </c>
      <c r="E34" t="s">
        <v>69</v>
      </c>
      <c r="F34" t="s">
        <v>40</v>
      </c>
      <c r="G34">
        <v>4</v>
      </c>
      <c r="H34" s="16">
        <v>588.98</v>
      </c>
      <c r="I34" t="s">
        <v>55</v>
      </c>
      <c r="J34" t="s">
        <v>50</v>
      </c>
      <c r="K34" s="16">
        <v>2355.92</v>
      </c>
      <c r="L34">
        <f t="shared" ref="L34:L65" si="2">YEAR(D34)</f>
        <v>2025</v>
      </c>
      <c r="M34" t="str">
        <f t="shared" ref="M34:M65" si="3">YEAR(D34)&amp;"-Q"&amp;ROUNDUP(MONTH(D34)/3,0)</f>
        <v>2025-Q1</v>
      </c>
      <c r="N34" s="16">
        <f>IF(AND(OR(Dashboard!$C$6="All",F34=Dashboard!$C$6),OR(Dashboard!$F$6="All",I34=Dashboard!$F$6),OR(Dashboard!$I$6="All",J34=Dashboard!$I$6),OR(Dashboard!$L$6="All",L34=Dashboard!$L$6)),K34,0)</f>
        <v>2355.92</v>
      </c>
      <c r="O34">
        <f>IF(AND(OR(Dashboard!$C$6="All",F34=Dashboard!$C$6),OR(Dashboard!$F$6="All",I34=Dashboard!$F$6),OR(Dashboard!$I$6="All",J34=Dashboard!$I$6),OR(Dashboard!$L$6="All",L34=Dashboard!$L$6)),G34,0)</f>
        <v>4</v>
      </c>
      <c r="P34">
        <f>IF(AND(OR(Dashboard!$C$6="All",F34=Dashboard!$C$6),OR(Dashboard!$F$6="All",I34=Dashboard!$F$6),OR(Dashboard!$I$6="All",J34=Dashboard!$I$6),OR(Dashboard!$L$6="All",L34=Dashboard!$L$6)),1,0)</f>
        <v>1</v>
      </c>
    </row>
    <row r="35" spans="1:16" x14ac:dyDescent="0.3">
      <c r="A35">
        <v>141</v>
      </c>
      <c r="B35" t="s">
        <v>120</v>
      </c>
      <c r="C35" t="s">
        <v>121</v>
      </c>
      <c r="D35" s="15">
        <v>45701</v>
      </c>
      <c r="E35" t="s">
        <v>69</v>
      </c>
      <c r="F35" t="s">
        <v>40</v>
      </c>
      <c r="G35">
        <v>3</v>
      </c>
      <c r="H35" s="16">
        <v>546.04</v>
      </c>
      <c r="I35" t="s">
        <v>29</v>
      </c>
      <c r="J35" t="s">
        <v>50</v>
      </c>
      <c r="K35" s="16">
        <v>1638.12</v>
      </c>
      <c r="L35">
        <f t="shared" si="2"/>
        <v>2025</v>
      </c>
      <c r="M35" t="str">
        <f t="shared" si="3"/>
        <v>2025-Q1</v>
      </c>
      <c r="N35" s="16">
        <f>IF(AND(OR(Dashboard!$C$6="All",F35=Dashboard!$C$6),OR(Dashboard!$F$6="All",I35=Dashboard!$F$6),OR(Dashboard!$I$6="All",J35=Dashboard!$I$6),OR(Dashboard!$L$6="All",L35=Dashboard!$L$6)),K35,0)</f>
        <v>1638.12</v>
      </c>
      <c r="O35">
        <f>IF(AND(OR(Dashboard!$C$6="All",F35=Dashboard!$C$6),OR(Dashboard!$F$6="All",I35=Dashboard!$F$6),OR(Dashboard!$I$6="All",J35=Dashboard!$I$6),OR(Dashboard!$L$6="All",L35=Dashboard!$L$6)),G35,0)</f>
        <v>3</v>
      </c>
      <c r="P35">
        <f>IF(AND(OR(Dashboard!$C$6="All",F35=Dashboard!$C$6),OR(Dashboard!$F$6="All",I35=Dashboard!$F$6),OR(Dashboard!$I$6="All",J35=Dashboard!$I$6),OR(Dashboard!$L$6="All",L35=Dashboard!$L$6)),1,0)</f>
        <v>1</v>
      </c>
    </row>
    <row r="36" spans="1:16" x14ac:dyDescent="0.3">
      <c r="A36">
        <v>142</v>
      </c>
      <c r="B36" t="s">
        <v>122</v>
      </c>
      <c r="C36" t="s">
        <v>123</v>
      </c>
      <c r="D36" s="15">
        <v>45960</v>
      </c>
      <c r="E36" t="s">
        <v>64</v>
      </c>
      <c r="F36" t="s">
        <v>65</v>
      </c>
      <c r="G36">
        <v>5</v>
      </c>
      <c r="H36" s="16">
        <v>645.26</v>
      </c>
      <c r="I36" t="s">
        <v>55</v>
      </c>
      <c r="J36" t="s">
        <v>30</v>
      </c>
      <c r="K36" s="16">
        <v>3226.3</v>
      </c>
      <c r="L36">
        <f t="shared" si="2"/>
        <v>2025</v>
      </c>
      <c r="M36" t="str">
        <f t="shared" si="3"/>
        <v>2025-Q4</v>
      </c>
      <c r="N36" s="16">
        <f>IF(AND(OR(Dashboard!$C$6="All",F36=Dashboard!$C$6),OR(Dashboard!$F$6="All",I36=Dashboard!$F$6),OR(Dashboard!$I$6="All",J36=Dashboard!$I$6),OR(Dashboard!$L$6="All",L36=Dashboard!$L$6)),K36,0)</f>
        <v>3226.3</v>
      </c>
      <c r="O36">
        <f>IF(AND(OR(Dashboard!$C$6="All",F36=Dashboard!$C$6),OR(Dashboard!$F$6="All",I36=Dashboard!$F$6),OR(Dashboard!$I$6="All",J36=Dashboard!$I$6),OR(Dashboard!$L$6="All",L36=Dashboard!$L$6)),G36,0)</f>
        <v>5</v>
      </c>
      <c r="P36">
        <f>IF(AND(OR(Dashboard!$C$6="All",F36=Dashboard!$C$6),OR(Dashboard!$F$6="All",I36=Dashboard!$F$6),OR(Dashboard!$I$6="All",J36=Dashboard!$I$6),OR(Dashboard!$L$6="All",L36=Dashboard!$L$6)),1,0)</f>
        <v>1</v>
      </c>
    </row>
    <row r="37" spans="1:16" x14ac:dyDescent="0.3">
      <c r="A37">
        <v>143</v>
      </c>
      <c r="B37" t="s">
        <v>124</v>
      </c>
      <c r="C37" t="s">
        <v>125</v>
      </c>
      <c r="D37" s="15">
        <v>45849</v>
      </c>
      <c r="E37" t="s">
        <v>107</v>
      </c>
      <c r="F37" t="s">
        <v>65</v>
      </c>
      <c r="G37">
        <v>5</v>
      </c>
      <c r="H37" s="16">
        <v>826.77</v>
      </c>
      <c r="I37" t="s">
        <v>66</v>
      </c>
      <c r="J37" t="s">
        <v>47</v>
      </c>
      <c r="K37" s="16">
        <v>4133.8500000000004</v>
      </c>
      <c r="L37">
        <f t="shared" si="2"/>
        <v>2025</v>
      </c>
      <c r="M37" t="str">
        <f t="shared" si="3"/>
        <v>2025-Q3</v>
      </c>
      <c r="N37" s="16">
        <f>IF(AND(OR(Dashboard!$C$6="All",F37=Dashboard!$C$6),OR(Dashboard!$F$6="All",I37=Dashboard!$F$6),OR(Dashboard!$I$6="All",J37=Dashboard!$I$6),OR(Dashboard!$L$6="All",L37=Dashboard!$L$6)),K37,0)</f>
        <v>4133.8500000000004</v>
      </c>
      <c r="O37">
        <f>IF(AND(OR(Dashboard!$C$6="All",F37=Dashboard!$C$6),OR(Dashboard!$F$6="All",I37=Dashboard!$F$6),OR(Dashboard!$I$6="All",J37=Dashboard!$I$6),OR(Dashboard!$L$6="All",L37=Dashboard!$L$6)),G37,0)</f>
        <v>5</v>
      </c>
      <c r="P37">
        <f>IF(AND(OR(Dashboard!$C$6="All",F37=Dashboard!$C$6),OR(Dashboard!$F$6="All",I37=Dashboard!$F$6),OR(Dashboard!$I$6="All",J37=Dashboard!$I$6),OR(Dashboard!$L$6="All",L37=Dashboard!$L$6)),1,0)</f>
        <v>1</v>
      </c>
    </row>
    <row r="38" spans="1:16" x14ac:dyDescent="0.3">
      <c r="A38">
        <v>144</v>
      </c>
      <c r="B38" t="s">
        <v>126</v>
      </c>
      <c r="C38" t="s">
        <v>127</v>
      </c>
      <c r="D38" s="15">
        <v>45684</v>
      </c>
      <c r="E38" t="s">
        <v>128</v>
      </c>
      <c r="F38" t="s">
        <v>34</v>
      </c>
      <c r="G38">
        <v>5</v>
      </c>
      <c r="H38" s="16">
        <v>849.07</v>
      </c>
      <c r="I38" t="s">
        <v>66</v>
      </c>
      <c r="J38" t="s">
        <v>41</v>
      </c>
      <c r="K38" s="16">
        <v>4245.3500000000004</v>
      </c>
      <c r="L38">
        <f t="shared" si="2"/>
        <v>2025</v>
      </c>
      <c r="M38" t="str">
        <f t="shared" si="3"/>
        <v>2025-Q1</v>
      </c>
      <c r="N38" s="16">
        <f>IF(AND(OR(Dashboard!$C$6="All",F38=Dashboard!$C$6),OR(Dashboard!$F$6="All",I38=Dashboard!$F$6),OR(Dashboard!$I$6="All",J38=Dashboard!$I$6),OR(Dashboard!$L$6="All",L38=Dashboard!$L$6)),K38,0)</f>
        <v>4245.3500000000004</v>
      </c>
      <c r="O38">
        <f>IF(AND(OR(Dashboard!$C$6="All",F38=Dashboard!$C$6),OR(Dashboard!$F$6="All",I38=Dashboard!$F$6),OR(Dashboard!$I$6="All",J38=Dashboard!$I$6),OR(Dashboard!$L$6="All",L38=Dashboard!$L$6)),G38,0)</f>
        <v>5</v>
      </c>
      <c r="P38">
        <f>IF(AND(OR(Dashboard!$C$6="All",F38=Dashboard!$C$6),OR(Dashboard!$F$6="All",I38=Dashboard!$F$6),OR(Dashboard!$I$6="All",J38=Dashboard!$I$6),OR(Dashboard!$L$6="All",L38=Dashboard!$L$6)),1,0)</f>
        <v>1</v>
      </c>
    </row>
    <row r="39" spans="1:16" x14ac:dyDescent="0.3">
      <c r="A39">
        <v>145</v>
      </c>
      <c r="B39" t="s">
        <v>129</v>
      </c>
      <c r="C39" t="s">
        <v>130</v>
      </c>
      <c r="D39" s="15">
        <v>45047</v>
      </c>
      <c r="E39" t="s">
        <v>131</v>
      </c>
      <c r="F39" t="s">
        <v>74</v>
      </c>
      <c r="G39">
        <v>2</v>
      </c>
      <c r="H39" s="16">
        <v>860.99</v>
      </c>
      <c r="I39" t="s">
        <v>66</v>
      </c>
      <c r="J39" t="s">
        <v>50</v>
      </c>
      <c r="K39" s="16">
        <v>1721.98</v>
      </c>
      <c r="L39">
        <f t="shared" si="2"/>
        <v>2023</v>
      </c>
      <c r="M39" t="str">
        <f t="shared" si="3"/>
        <v>2023-Q2</v>
      </c>
      <c r="N39" s="16">
        <f>IF(AND(OR(Dashboard!$C$6="All",F39=Dashboard!$C$6),OR(Dashboard!$F$6="All",I39=Dashboard!$F$6),OR(Dashboard!$I$6="All",J39=Dashboard!$I$6),OR(Dashboard!$L$6="All",L39=Dashboard!$L$6)),K39,0)</f>
        <v>1721.98</v>
      </c>
      <c r="O39">
        <f>IF(AND(OR(Dashboard!$C$6="All",F39=Dashboard!$C$6),OR(Dashboard!$F$6="All",I39=Dashboard!$F$6),OR(Dashboard!$I$6="All",J39=Dashboard!$I$6),OR(Dashboard!$L$6="All",L39=Dashboard!$L$6)),G39,0)</f>
        <v>2</v>
      </c>
      <c r="P39">
        <f>IF(AND(OR(Dashboard!$C$6="All",F39=Dashboard!$C$6),OR(Dashboard!$F$6="All",I39=Dashboard!$F$6),OR(Dashboard!$I$6="All",J39=Dashboard!$I$6),OR(Dashboard!$L$6="All",L39=Dashboard!$L$6)),1,0)</f>
        <v>1</v>
      </c>
    </row>
    <row r="40" spans="1:16" x14ac:dyDescent="0.3">
      <c r="A40">
        <v>146</v>
      </c>
      <c r="B40" t="s">
        <v>132</v>
      </c>
      <c r="C40" t="s">
        <v>133</v>
      </c>
      <c r="D40" s="15">
        <v>45847</v>
      </c>
      <c r="E40" t="s">
        <v>58</v>
      </c>
      <c r="F40" t="s">
        <v>74</v>
      </c>
      <c r="G40">
        <v>2</v>
      </c>
      <c r="H40" s="16">
        <v>705.42</v>
      </c>
      <c r="I40" t="s">
        <v>66</v>
      </c>
      <c r="J40" t="s">
        <v>41</v>
      </c>
      <c r="K40" s="16">
        <v>1410.84</v>
      </c>
      <c r="L40">
        <f t="shared" si="2"/>
        <v>2025</v>
      </c>
      <c r="M40" t="str">
        <f t="shared" si="3"/>
        <v>2025-Q3</v>
      </c>
      <c r="N40" s="16">
        <f>IF(AND(OR(Dashboard!$C$6="All",F40=Dashboard!$C$6),OR(Dashboard!$F$6="All",I40=Dashboard!$F$6),OR(Dashboard!$I$6="All",J40=Dashboard!$I$6),OR(Dashboard!$L$6="All",L40=Dashboard!$L$6)),K40,0)</f>
        <v>1410.84</v>
      </c>
      <c r="O40">
        <f>IF(AND(OR(Dashboard!$C$6="All",F40=Dashboard!$C$6),OR(Dashboard!$F$6="All",I40=Dashboard!$F$6),OR(Dashboard!$I$6="All",J40=Dashboard!$I$6),OR(Dashboard!$L$6="All",L40=Dashboard!$L$6)),G40,0)</f>
        <v>2</v>
      </c>
      <c r="P40">
        <f>IF(AND(OR(Dashboard!$C$6="All",F40=Dashboard!$C$6),OR(Dashboard!$F$6="All",I40=Dashboard!$F$6),OR(Dashboard!$I$6="All",J40=Dashboard!$I$6),OR(Dashboard!$L$6="All",L40=Dashboard!$L$6)),1,0)</f>
        <v>1</v>
      </c>
    </row>
    <row r="41" spans="1:16" x14ac:dyDescent="0.3">
      <c r="A41">
        <v>147</v>
      </c>
      <c r="B41" t="s">
        <v>134</v>
      </c>
      <c r="C41" t="s">
        <v>135</v>
      </c>
      <c r="D41" s="15">
        <v>45778</v>
      </c>
      <c r="E41" t="s">
        <v>136</v>
      </c>
      <c r="F41" t="s">
        <v>65</v>
      </c>
      <c r="G41">
        <v>4</v>
      </c>
      <c r="H41" s="16">
        <v>596.15</v>
      </c>
      <c r="I41" t="s">
        <v>29</v>
      </c>
      <c r="J41" t="s">
        <v>30</v>
      </c>
      <c r="K41" s="16">
        <v>2384.6</v>
      </c>
      <c r="L41">
        <f t="shared" si="2"/>
        <v>2025</v>
      </c>
      <c r="M41" t="str">
        <f t="shared" si="3"/>
        <v>2025-Q2</v>
      </c>
      <c r="N41" s="16">
        <f>IF(AND(OR(Dashboard!$C$6="All",F41=Dashboard!$C$6),OR(Dashboard!$F$6="All",I41=Dashboard!$F$6),OR(Dashboard!$I$6="All",J41=Dashboard!$I$6),OR(Dashboard!$L$6="All",L41=Dashboard!$L$6)),K41,0)</f>
        <v>2384.6</v>
      </c>
      <c r="O41">
        <f>IF(AND(OR(Dashboard!$C$6="All",F41=Dashboard!$C$6),OR(Dashboard!$F$6="All",I41=Dashboard!$F$6),OR(Dashboard!$I$6="All",J41=Dashboard!$I$6),OR(Dashboard!$L$6="All",L41=Dashboard!$L$6)),G41,0)</f>
        <v>4</v>
      </c>
      <c r="P41">
        <f>IF(AND(OR(Dashboard!$C$6="All",F41=Dashboard!$C$6),OR(Dashboard!$F$6="All",I41=Dashboard!$F$6),OR(Dashboard!$I$6="All",J41=Dashboard!$I$6),OR(Dashboard!$L$6="All",L41=Dashboard!$L$6)),1,0)</f>
        <v>1</v>
      </c>
    </row>
    <row r="42" spans="1:16" x14ac:dyDescent="0.3">
      <c r="A42">
        <v>148</v>
      </c>
      <c r="B42" t="s">
        <v>137</v>
      </c>
      <c r="C42" t="s">
        <v>138</v>
      </c>
      <c r="D42" s="15">
        <v>45729</v>
      </c>
      <c r="E42" t="s">
        <v>33</v>
      </c>
      <c r="F42" t="s">
        <v>34</v>
      </c>
      <c r="G42">
        <v>1</v>
      </c>
      <c r="H42" s="16">
        <v>660.98</v>
      </c>
      <c r="I42" t="s">
        <v>29</v>
      </c>
      <c r="J42" t="s">
        <v>50</v>
      </c>
      <c r="K42" s="16">
        <v>660.98</v>
      </c>
      <c r="L42">
        <f t="shared" si="2"/>
        <v>2025</v>
      </c>
      <c r="M42" t="str">
        <f t="shared" si="3"/>
        <v>2025-Q1</v>
      </c>
      <c r="N42" s="16">
        <f>IF(AND(OR(Dashboard!$C$6="All",F42=Dashboard!$C$6),OR(Dashboard!$F$6="All",I42=Dashboard!$F$6),OR(Dashboard!$I$6="All",J42=Dashboard!$I$6),OR(Dashboard!$L$6="All",L42=Dashboard!$L$6)),K42,0)</f>
        <v>660.98</v>
      </c>
      <c r="O42">
        <f>IF(AND(OR(Dashboard!$C$6="All",F42=Dashboard!$C$6),OR(Dashboard!$F$6="All",I42=Dashboard!$F$6),OR(Dashboard!$I$6="All",J42=Dashboard!$I$6),OR(Dashboard!$L$6="All",L42=Dashboard!$L$6)),G42,0)</f>
        <v>1</v>
      </c>
      <c r="P42">
        <f>IF(AND(OR(Dashboard!$C$6="All",F42=Dashboard!$C$6),OR(Dashboard!$F$6="All",I42=Dashboard!$F$6),OR(Dashboard!$I$6="All",J42=Dashboard!$I$6),OR(Dashboard!$L$6="All",L42=Dashboard!$L$6)),1,0)</f>
        <v>1</v>
      </c>
    </row>
    <row r="43" spans="1:16" x14ac:dyDescent="0.3">
      <c r="A43">
        <v>149</v>
      </c>
      <c r="B43" t="s">
        <v>139</v>
      </c>
      <c r="C43" t="s">
        <v>140</v>
      </c>
      <c r="D43" s="15">
        <v>45837</v>
      </c>
      <c r="E43" t="s">
        <v>61</v>
      </c>
      <c r="F43" t="s">
        <v>40</v>
      </c>
      <c r="G43">
        <v>5</v>
      </c>
      <c r="H43" s="16">
        <v>896.38</v>
      </c>
      <c r="I43" t="s">
        <v>66</v>
      </c>
      <c r="J43" t="s">
        <v>47</v>
      </c>
      <c r="K43" s="16">
        <v>4481.8999999999996</v>
      </c>
      <c r="L43">
        <f t="shared" si="2"/>
        <v>2025</v>
      </c>
      <c r="M43" t="str">
        <f t="shared" si="3"/>
        <v>2025-Q2</v>
      </c>
      <c r="N43" s="16">
        <f>IF(AND(OR(Dashboard!$C$6="All",F43=Dashboard!$C$6),OR(Dashboard!$F$6="All",I43=Dashboard!$F$6),OR(Dashboard!$I$6="All",J43=Dashboard!$I$6),OR(Dashboard!$L$6="All",L43=Dashboard!$L$6)),K43,0)</f>
        <v>4481.8999999999996</v>
      </c>
      <c r="O43">
        <f>IF(AND(OR(Dashboard!$C$6="All",F43=Dashboard!$C$6),OR(Dashboard!$F$6="All",I43=Dashboard!$F$6),OR(Dashboard!$I$6="All",J43=Dashboard!$I$6),OR(Dashboard!$L$6="All",L43=Dashboard!$L$6)),G43,0)</f>
        <v>5</v>
      </c>
      <c r="P43">
        <f>IF(AND(OR(Dashboard!$C$6="All",F43=Dashboard!$C$6),OR(Dashboard!$F$6="All",I43=Dashboard!$F$6),OR(Dashboard!$I$6="All",J43=Dashboard!$I$6),OR(Dashboard!$L$6="All",L43=Dashboard!$L$6)),1,0)</f>
        <v>1</v>
      </c>
    </row>
    <row r="44" spans="1:16" x14ac:dyDescent="0.3">
      <c r="A44">
        <v>150</v>
      </c>
      <c r="B44" t="s">
        <v>141</v>
      </c>
      <c r="C44" t="s">
        <v>142</v>
      </c>
      <c r="D44" s="15">
        <v>45623</v>
      </c>
      <c r="E44" t="s">
        <v>81</v>
      </c>
      <c r="F44" t="s">
        <v>34</v>
      </c>
      <c r="G44">
        <v>1</v>
      </c>
      <c r="H44" s="16">
        <v>206.19</v>
      </c>
      <c r="I44" t="s">
        <v>55</v>
      </c>
      <c r="J44" t="s">
        <v>50</v>
      </c>
      <c r="K44" s="16">
        <v>206.19</v>
      </c>
      <c r="L44">
        <f t="shared" si="2"/>
        <v>2024</v>
      </c>
      <c r="M44" t="str">
        <f t="shared" si="3"/>
        <v>2024-Q4</v>
      </c>
      <c r="N44" s="16">
        <f>IF(AND(OR(Dashboard!$C$6="All",F44=Dashboard!$C$6),OR(Dashboard!$F$6="All",I44=Dashboard!$F$6),OR(Dashboard!$I$6="All",J44=Dashboard!$I$6),OR(Dashboard!$L$6="All",L44=Dashboard!$L$6)),K44,0)</f>
        <v>206.19</v>
      </c>
      <c r="O44">
        <f>IF(AND(OR(Dashboard!$C$6="All",F44=Dashboard!$C$6),OR(Dashboard!$F$6="All",I44=Dashboard!$F$6),OR(Dashboard!$I$6="All",J44=Dashboard!$I$6),OR(Dashboard!$L$6="All",L44=Dashboard!$L$6)),G44,0)</f>
        <v>1</v>
      </c>
      <c r="P44">
        <f>IF(AND(OR(Dashboard!$C$6="All",F44=Dashboard!$C$6),OR(Dashboard!$F$6="All",I44=Dashboard!$F$6),OR(Dashboard!$I$6="All",J44=Dashboard!$I$6),OR(Dashboard!$L$6="All",L44=Dashboard!$L$6)),1,0)</f>
        <v>1</v>
      </c>
    </row>
    <row r="45" spans="1:16" x14ac:dyDescent="0.3">
      <c r="A45">
        <v>151</v>
      </c>
      <c r="B45" t="s">
        <v>143</v>
      </c>
      <c r="C45" t="s">
        <v>144</v>
      </c>
      <c r="D45" s="15">
        <v>45839</v>
      </c>
      <c r="E45" t="s">
        <v>61</v>
      </c>
      <c r="F45" t="s">
        <v>40</v>
      </c>
      <c r="G45">
        <v>2</v>
      </c>
      <c r="H45" s="16">
        <v>457.16</v>
      </c>
      <c r="I45" t="s">
        <v>35</v>
      </c>
      <c r="J45" t="s">
        <v>41</v>
      </c>
      <c r="K45" s="16">
        <v>914.32</v>
      </c>
      <c r="L45">
        <f t="shared" si="2"/>
        <v>2025</v>
      </c>
      <c r="M45" t="str">
        <f t="shared" si="3"/>
        <v>2025-Q3</v>
      </c>
      <c r="N45" s="16">
        <f>IF(AND(OR(Dashboard!$C$6="All",F45=Dashboard!$C$6),OR(Dashboard!$F$6="All",I45=Dashboard!$F$6),OR(Dashboard!$I$6="All",J45=Dashboard!$I$6),OR(Dashboard!$L$6="All",L45=Dashboard!$L$6)),K45,0)</f>
        <v>914.32</v>
      </c>
      <c r="O45">
        <f>IF(AND(OR(Dashboard!$C$6="All",F45=Dashboard!$C$6),OR(Dashboard!$F$6="All",I45=Dashboard!$F$6),OR(Dashboard!$I$6="All",J45=Dashboard!$I$6),OR(Dashboard!$L$6="All",L45=Dashboard!$L$6)),G45,0)</f>
        <v>2</v>
      </c>
      <c r="P45">
        <f>IF(AND(OR(Dashboard!$C$6="All",F45=Dashboard!$C$6),OR(Dashboard!$F$6="All",I45=Dashboard!$F$6),OR(Dashboard!$I$6="All",J45=Dashboard!$I$6),OR(Dashboard!$L$6="All",L45=Dashboard!$L$6)),1,0)</f>
        <v>1</v>
      </c>
    </row>
    <row r="46" spans="1:16" x14ac:dyDescent="0.3">
      <c r="A46">
        <v>152</v>
      </c>
      <c r="B46" t="s">
        <v>145</v>
      </c>
      <c r="C46" t="s">
        <v>146</v>
      </c>
      <c r="D46" s="15">
        <v>45922</v>
      </c>
      <c r="E46" t="s">
        <v>98</v>
      </c>
      <c r="F46" t="s">
        <v>28</v>
      </c>
      <c r="G46">
        <v>3</v>
      </c>
      <c r="H46" s="16">
        <v>233.11</v>
      </c>
      <c r="I46" t="s">
        <v>35</v>
      </c>
      <c r="J46" t="s">
        <v>50</v>
      </c>
      <c r="K46" s="16">
        <v>699.33</v>
      </c>
      <c r="L46">
        <f t="shared" si="2"/>
        <v>2025</v>
      </c>
      <c r="M46" t="str">
        <f t="shared" si="3"/>
        <v>2025-Q3</v>
      </c>
      <c r="N46" s="16">
        <f>IF(AND(OR(Dashboard!$C$6="All",F46=Dashboard!$C$6),OR(Dashboard!$F$6="All",I46=Dashboard!$F$6),OR(Dashboard!$I$6="All",J46=Dashboard!$I$6),OR(Dashboard!$L$6="All",L46=Dashboard!$L$6)),K46,0)</f>
        <v>699.33</v>
      </c>
      <c r="O46">
        <f>IF(AND(OR(Dashboard!$C$6="All",F46=Dashboard!$C$6),OR(Dashboard!$F$6="All",I46=Dashboard!$F$6),OR(Dashboard!$I$6="All",J46=Dashboard!$I$6),OR(Dashboard!$L$6="All",L46=Dashboard!$L$6)),G46,0)</f>
        <v>3</v>
      </c>
      <c r="P46">
        <f>IF(AND(OR(Dashboard!$C$6="All",F46=Dashboard!$C$6),OR(Dashboard!$F$6="All",I46=Dashboard!$F$6),OR(Dashboard!$I$6="All",J46=Dashboard!$I$6),OR(Dashboard!$L$6="All",L46=Dashboard!$L$6)),1,0)</f>
        <v>1</v>
      </c>
    </row>
    <row r="47" spans="1:16" x14ac:dyDescent="0.3">
      <c r="A47">
        <v>153</v>
      </c>
      <c r="B47" t="s">
        <v>147</v>
      </c>
      <c r="C47" t="s">
        <v>148</v>
      </c>
      <c r="D47" s="15">
        <v>45854</v>
      </c>
      <c r="E47" t="s">
        <v>81</v>
      </c>
      <c r="F47" t="s">
        <v>34</v>
      </c>
      <c r="G47">
        <v>4</v>
      </c>
      <c r="H47" s="16">
        <v>278.89999999999998</v>
      </c>
      <c r="I47" t="s">
        <v>29</v>
      </c>
      <c r="J47" t="s">
        <v>41</v>
      </c>
      <c r="K47" s="16">
        <v>1115.5999999999999</v>
      </c>
      <c r="L47">
        <f t="shared" si="2"/>
        <v>2025</v>
      </c>
      <c r="M47" t="str">
        <f t="shared" si="3"/>
        <v>2025-Q3</v>
      </c>
      <c r="N47" s="16">
        <f>IF(AND(OR(Dashboard!$C$6="All",F47=Dashboard!$C$6),OR(Dashboard!$F$6="All",I47=Dashboard!$F$6),OR(Dashboard!$I$6="All",J47=Dashboard!$I$6),OR(Dashboard!$L$6="All",L47=Dashboard!$L$6)),K47,0)</f>
        <v>1115.5999999999999</v>
      </c>
      <c r="O47">
        <f>IF(AND(OR(Dashboard!$C$6="All",F47=Dashboard!$C$6),OR(Dashboard!$F$6="All",I47=Dashboard!$F$6),OR(Dashboard!$I$6="All",J47=Dashboard!$I$6),OR(Dashboard!$L$6="All",L47=Dashboard!$L$6)),G47,0)</f>
        <v>4</v>
      </c>
      <c r="P47">
        <f>IF(AND(OR(Dashboard!$C$6="All",F47=Dashboard!$C$6),OR(Dashboard!$F$6="All",I47=Dashboard!$F$6),OR(Dashboard!$I$6="All",J47=Dashboard!$I$6),OR(Dashboard!$L$6="All",L47=Dashboard!$L$6)),1,0)</f>
        <v>1</v>
      </c>
    </row>
    <row r="48" spans="1:16" x14ac:dyDescent="0.3">
      <c r="A48">
        <v>154</v>
      </c>
      <c r="B48" t="s">
        <v>149</v>
      </c>
      <c r="C48" t="s">
        <v>150</v>
      </c>
      <c r="D48" s="15">
        <v>45709</v>
      </c>
      <c r="E48" t="s">
        <v>27</v>
      </c>
      <c r="F48" t="s">
        <v>28</v>
      </c>
      <c r="G48">
        <v>5</v>
      </c>
      <c r="H48" s="16">
        <v>789.64</v>
      </c>
      <c r="I48" t="s">
        <v>29</v>
      </c>
      <c r="J48" t="s">
        <v>47</v>
      </c>
      <c r="K48" s="16">
        <v>3948.2</v>
      </c>
      <c r="L48">
        <f t="shared" si="2"/>
        <v>2025</v>
      </c>
      <c r="M48" t="str">
        <f t="shared" si="3"/>
        <v>2025-Q1</v>
      </c>
      <c r="N48" s="16">
        <f>IF(AND(OR(Dashboard!$C$6="All",F48=Dashboard!$C$6),OR(Dashboard!$F$6="All",I48=Dashboard!$F$6),OR(Dashboard!$I$6="All",J48=Dashboard!$I$6),OR(Dashboard!$L$6="All",L48=Dashboard!$L$6)),K48,0)</f>
        <v>3948.2</v>
      </c>
      <c r="O48">
        <f>IF(AND(OR(Dashboard!$C$6="All",F48=Dashboard!$C$6),OR(Dashboard!$F$6="All",I48=Dashboard!$F$6),OR(Dashboard!$I$6="All",J48=Dashboard!$I$6),OR(Dashboard!$L$6="All",L48=Dashboard!$L$6)),G48,0)</f>
        <v>5</v>
      </c>
      <c r="P48">
        <f>IF(AND(OR(Dashboard!$C$6="All",F48=Dashboard!$C$6),OR(Dashboard!$F$6="All",I48=Dashboard!$F$6),OR(Dashboard!$I$6="All",J48=Dashboard!$I$6),OR(Dashboard!$L$6="All",L48=Dashboard!$L$6)),1,0)</f>
        <v>1</v>
      </c>
    </row>
    <row r="49" spans="1:16" x14ac:dyDescent="0.3">
      <c r="A49">
        <v>155</v>
      </c>
      <c r="B49" t="s">
        <v>151</v>
      </c>
      <c r="C49" t="s">
        <v>152</v>
      </c>
      <c r="D49" s="15">
        <v>45778</v>
      </c>
      <c r="E49" t="s">
        <v>153</v>
      </c>
      <c r="F49" t="s">
        <v>65</v>
      </c>
      <c r="G49">
        <v>1</v>
      </c>
      <c r="H49" s="16">
        <v>40.950000000000003</v>
      </c>
      <c r="I49" t="s">
        <v>35</v>
      </c>
      <c r="J49" t="s">
        <v>50</v>
      </c>
      <c r="K49" s="16">
        <v>40.950000000000003</v>
      </c>
      <c r="L49">
        <f t="shared" si="2"/>
        <v>2025</v>
      </c>
      <c r="M49" t="str">
        <f t="shared" si="3"/>
        <v>2025-Q2</v>
      </c>
      <c r="N49" s="16">
        <f>IF(AND(OR(Dashboard!$C$6="All",F49=Dashboard!$C$6),OR(Dashboard!$F$6="All",I49=Dashboard!$F$6),OR(Dashboard!$I$6="All",J49=Dashboard!$I$6),OR(Dashboard!$L$6="All",L49=Dashboard!$L$6)),K49,0)</f>
        <v>40.950000000000003</v>
      </c>
      <c r="O49">
        <f>IF(AND(OR(Dashboard!$C$6="All",F49=Dashboard!$C$6),OR(Dashboard!$F$6="All",I49=Dashboard!$F$6),OR(Dashboard!$I$6="All",J49=Dashboard!$I$6),OR(Dashboard!$L$6="All",L49=Dashboard!$L$6)),G49,0)</f>
        <v>1</v>
      </c>
      <c r="P49">
        <f>IF(AND(OR(Dashboard!$C$6="All",F49=Dashboard!$C$6),OR(Dashboard!$F$6="All",I49=Dashboard!$F$6),OR(Dashboard!$I$6="All",J49=Dashboard!$I$6),OR(Dashboard!$L$6="All",L49=Dashboard!$L$6)),1,0)</f>
        <v>1</v>
      </c>
    </row>
    <row r="50" spans="1:16" x14ac:dyDescent="0.3">
      <c r="A50">
        <v>157</v>
      </c>
      <c r="B50" t="s">
        <v>154</v>
      </c>
      <c r="C50" t="s">
        <v>155</v>
      </c>
      <c r="D50" s="15">
        <v>45967</v>
      </c>
      <c r="E50" t="s">
        <v>136</v>
      </c>
      <c r="F50" t="s">
        <v>65</v>
      </c>
      <c r="G50">
        <v>4</v>
      </c>
      <c r="H50" s="16">
        <v>275.10000000000002</v>
      </c>
      <c r="I50" t="s">
        <v>66</v>
      </c>
      <c r="J50" t="s">
        <v>41</v>
      </c>
      <c r="K50" s="16">
        <v>1100.4000000000001</v>
      </c>
      <c r="L50">
        <f t="shared" si="2"/>
        <v>2025</v>
      </c>
      <c r="M50" t="str">
        <f t="shared" si="3"/>
        <v>2025-Q4</v>
      </c>
      <c r="N50" s="16">
        <f>IF(AND(OR(Dashboard!$C$6="All",F50=Dashboard!$C$6),OR(Dashboard!$F$6="All",I50=Dashboard!$F$6),OR(Dashboard!$I$6="All",J50=Dashboard!$I$6),OR(Dashboard!$L$6="All",L50=Dashboard!$L$6)),K50,0)</f>
        <v>1100.4000000000001</v>
      </c>
      <c r="O50">
        <f>IF(AND(OR(Dashboard!$C$6="All",F50=Dashboard!$C$6),OR(Dashboard!$F$6="All",I50=Dashboard!$F$6),OR(Dashboard!$I$6="All",J50=Dashboard!$I$6),OR(Dashboard!$L$6="All",L50=Dashboard!$L$6)),G50,0)</f>
        <v>4</v>
      </c>
      <c r="P50">
        <f>IF(AND(OR(Dashboard!$C$6="All",F50=Dashboard!$C$6),OR(Dashboard!$F$6="All",I50=Dashboard!$F$6),OR(Dashboard!$I$6="All",J50=Dashboard!$I$6),OR(Dashboard!$L$6="All",L50=Dashboard!$L$6)),1,0)</f>
        <v>1</v>
      </c>
    </row>
    <row r="51" spans="1:16" x14ac:dyDescent="0.3">
      <c r="A51">
        <v>158</v>
      </c>
      <c r="B51" t="s">
        <v>156</v>
      </c>
      <c r="C51" t="s">
        <v>157</v>
      </c>
      <c r="D51" s="15">
        <v>45752</v>
      </c>
      <c r="E51" t="s">
        <v>110</v>
      </c>
      <c r="F51" t="s">
        <v>74</v>
      </c>
      <c r="G51">
        <v>1</v>
      </c>
      <c r="H51" s="16">
        <v>933.58</v>
      </c>
      <c r="I51" t="s">
        <v>29</v>
      </c>
      <c r="J51" t="s">
        <v>30</v>
      </c>
      <c r="K51" s="16">
        <v>933.58</v>
      </c>
      <c r="L51">
        <f t="shared" si="2"/>
        <v>2025</v>
      </c>
      <c r="M51" t="str">
        <f t="shared" si="3"/>
        <v>2025-Q2</v>
      </c>
      <c r="N51" s="16">
        <f>IF(AND(OR(Dashboard!$C$6="All",F51=Dashboard!$C$6),OR(Dashboard!$F$6="All",I51=Dashboard!$F$6),OR(Dashboard!$I$6="All",J51=Dashboard!$I$6),OR(Dashboard!$L$6="All",L51=Dashboard!$L$6)),K51,0)</f>
        <v>933.58</v>
      </c>
      <c r="O51">
        <f>IF(AND(OR(Dashboard!$C$6="All",F51=Dashboard!$C$6),OR(Dashboard!$F$6="All",I51=Dashboard!$F$6),OR(Dashboard!$I$6="All",J51=Dashboard!$I$6),OR(Dashboard!$L$6="All",L51=Dashboard!$L$6)),G51,0)</f>
        <v>1</v>
      </c>
      <c r="P51">
        <f>IF(AND(OR(Dashboard!$C$6="All",F51=Dashboard!$C$6),OR(Dashboard!$F$6="All",I51=Dashboard!$F$6),OR(Dashboard!$I$6="All",J51=Dashboard!$I$6),OR(Dashboard!$L$6="All",L51=Dashboard!$L$6)),1,0)</f>
        <v>1</v>
      </c>
    </row>
    <row r="52" spans="1:16" x14ac:dyDescent="0.3">
      <c r="A52">
        <v>159</v>
      </c>
      <c r="B52" t="s">
        <v>158</v>
      </c>
      <c r="C52" t="s">
        <v>159</v>
      </c>
      <c r="D52" s="15">
        <v>45866</v>
      </c>
      <c r="E52" t="s">
        <v>86</v>
      </c>
      <c r="F52" t="s">
        <v>28</v>
      </c>
      <c r="G52">
        <v>3</v>
      </c>
      <c r="H52" s="16">
        <v>163.16</v>
      </c>
      <c r="I52" t="s">
        <v>35</v>
      </c>
      <c r="J52" t="s">
        <v>30</v>
      </c>
      <c r="K52" s="16">
        <v>489.48</v>
      </c>
      <c r="L52">
        <f t="shared" si="2"/>
        <v>2025</v>
      </c>
      <c r="M52" t="str">
        <f t="shared" si="3"/>
        <v>2025-Q3</v>
      </c>
      <c r="N52" s="16">
        <f>IF(AND(OR(Dashboard!$C$6="All",F52=Dashboard!$C$6),OR(Dashboard!$F$6="All",I52=Dashboard!$F$6),OR(Dashboard!$I$6="All",J52=Dashboard!$I$6),OR(Dashboard!$L$6="All",L52=Dashboard!$L$6)),K52,0)</f>
        <v>489.48</v>
      </c>
      <c r="O52">
        <f>IF(AND(OR(Dashboard!$C$6="All",F52=Dashboard!$C$6),OR(Dashboard!$F$6="All",I52=Dashboard!$F$6),OR(Dashboard!$I$6="All",J52=Dashboard!$I$6),OR(Dashboard!$L$6="All",L52=Dashboard!$L$6)),G52,0)</f>
        <v>3</v>
      </c>
      <c r="P52">
        <f>IF(AND(OR(Dashboard!$C$6="All",F52=Dashboard!$C$6),OR(Dashboard!$F$6="All",I52=Dashboard!$F$6),OR(Dashboard!$I$6="All",J52=Dashboard!$I$6),OR(Dashboard!$L$6="All",L52=Dashboard!$L$6)),1,0)</f>
        <v>1</v>
      </c>
    </row>
    <row r="53" spans="1:16" x14ac:dyDescent="0.3">
      <c r="A53">
        <v>160</v>
      </c>
      <c r="B53" t="s">
        <v>160</v>
      </c>
      <c r="C53" t="s">
        <v>161</v>
      </c>
      <c r="D53" s="15">
        <v>45660</v>
      </c>
      <c r="E53" t="s">
        <v>39</v>
      </c>
      <c r="F53" t="s">
        <v>40</v>
      </c>
      <c r="G53">
        <v>5</v>
      </c>
      <c r="H53" s="16">
        <v>242.52</v>
      </c>
      <c r="I53" t="s">
        <v>29</v>
      </c>
      <c r="J53" t="s">
        <v>50</v>
      </c>
      <c r="K53" s="16">
        <v>1212.5999999999999</v>
      </c>
      <c r="L53">
        <f t="shared" si="2"/>
        <v>2025</v>
      </c>
      <c r="M53" t="str">
        <f t="shared" si="3"/>
        <v>2025-Q1</v>
      </c>
      <c r="N53" s="16">
        <f>IF(AND(OR(Dashboard!$C$6="All",F53=Dashboard!$C$6),OR(Dashboard!$F$6="All",I53=Dashboard!$F$6),OR(Dashboard!$I$6="All",J53=Dashboard!$I$6),OR(Dashboard!$L$6="All",L53=Dashboard!$L$6)),K53,0)</f>
        <v>1212.5999999999999</v>
      </c>
      <c r="O53">
        <f>IF(AND(OR(Dashboard!$C$6="All",F53=Dashboard!$C$6),OR(Dashboard!$F$6="All",I53=Dashboard!$F$6),OR(Dashboard!$I$6="All",J53=Dashboard!$I$6),OR(Dashboard!$L$6="All",L53=Dashboard!$L$6)),G53,0)</f>
        <v>5</v>
      </c>
      <c r="P53">
        <f>IF(AND(OR(Dashboard!$C$6="All",F53=Dashboard!$C$6),OR(Dashboard!$F$6="All",I53=Dashboard!$F$6),OR(Dashboard!$I$6="All",J53=Dashboard!$I$6),OR(Dashboard!$L$6="All",L53=Dashboard!$L$6)),1,0)</f>
        <v>1</v>
      </c>
    </row>
    <row r="54" spans="1:16" x14ac:dyDescent="0.3">
      <c r="A54">
        <v>161</v>
      </c>
      <c r="B54" t="s">
        <v>162</v>
      </c>
      <c r="C54" t="s">
        <v>163</v>
      </c>
      <c r="D54" s="15">
        <v>45641</v>
      </c>
      <c r="E54" t="s">
        <v>39</v>
      </c>
      <c r="F54" t="s">
        <v>40</v>
      </c>
      <c r="G54">
        <v>4</v>
      </c>
      <c r="H54" s="16">
        <v>209.32</v>
      </c>
      <c r="I54" t="s">
        <v>66</v>
      </c>
      <c r="J54" t="s">
        <v>30</v>
      </c>
      <c r="K54" s="16">
        <v>837.28</v>
      </c>
      <c r="L54">
        <f t="shared" si="2"/>
        <v>2024</v>
      </c>
      <c r="M54" t="str">
        <f t="shared" si="3"/>
        <v>2024-Q4</v>
      </c>
      <c r="N54" s="16">
        <f>IF(AND(OR(Dashboard!$C$6="All",F54=Dashboard!$C$6),OR(Dashboard!$F$6="All",I54=Dashboard!$F$6),OR(Dashboard!$I$6="All",J54=Dashboard!$I$6),OR(Dashboard!$L$6="All",L54=Dashboard!$L$6)),K54,0)</f>
        <v>837.28</v>
      </c>
      <c r="O54">
        <f>IF(AND(OR(Dashboard!$C$6="All",F54=Dashboard!$C$6),OR(Dashboard!$F$6="All",I54=Dashboard!$F$6),OR(Dashboard!$I$6="All",J54=Dashboard!$I$6),OR(Dashboard!$L$6="All",L54=Dashboard!$L$6)),G54,0)</f>
        <v>4</v>
      </c>
      <c r="P54">
        <f>IF(AND(OR(Dashboard!$C$6="All",F54=Dashboard!$C$6),OR(Dashboard!$F$6="All",I54=Dashboard!$F$6),OR(Dashboard!$I$6="All",J54=Dashboard!$I$6),OR(Dashboard!$L$6="All",L54=Dashboard!$L$6)),1,0)</f>
        <v>1</v>
      </c>
    </row>
    <row r="55" spans="1:16" x14ac:dyDescent="0.3">
      <c r="A55">
        <v>162</v>
      </c>
      <c r="B55" t="s">
        <v>164</v>
      </c>
      <c r="C55" t="s">
        <v>165</v>
      </c>
      <c r="D55" s="15">
        <v>45796</v>
      </c>
      <c r="E55" t="s">
        <v>27</v>
      </c>
      <c r="F55" t="s">
        <v>28</v>
      </c>
      <c r="G55">
        <v>2</v>
      </c>
      <c r="H55" s="16">
        <v>155.76</v>
      </c>
      <c r="I55" t="s">
        <v>55</v>
      </c>
      <c r="J55" t="s">
        <v>50</v>
      </c>
      <c r="K55" s="16">
        <v>311.52</v>
      </c>
      <c r="L55">
        <f t="shared" si="2"/>
        <v>2025</v>
      </c>
      <c r="M55" t="str">
        <f t="shared" si="3"/>
        <v>2025-Q2</v>
      </c>
      <c r="N55" s="16">
        <f>IF(AND(OR(Dashboard!$C$6="All",F55=Dashboard!$C$6),OR(Dashboard!$F$6="All",I55=Dashboard!$F$6),OR(Dashboard!$I$6="All",J55=Dashboard!$I$6),OR(Dashboard!$L$6="All",L55=Dashboard!$L$6)),K55,0)</f>
        <v>311.52</v>
      </c>
      <c r="O55">
        <f>IF(AND(OR(Dashboard!$C$6="All",F55=Dashboard!$C$6),OR(Dashboard!$F$6="All",I55=Dashboard!$F$6),OR(Dashboard!$I$6="All",J55=Dashboard!$I$6),OR(Dashboard!$L$6="All",L55=Dashboard!$L$6)),G55,0)</f>
        <v>2</v>
      </c>
      <c r="P55">
        <f>IF(AND(OR(Dashboard!$C$6="All",F55=Dashboard!$C$6),OR(Dashboard!$F$6="All",I55=Dashboard!$F$6),OR(Dashboard!$I$6="All",J55=Dashboard!$I$6),OR(Dashboard!$L$6="All",L55=Dashboard!$L$6)),1,0)</f>
        <v>1</v>
      </c>
    </row>
    <row r="56" spans="1:16" x14ac:dyDescent="0.3">
      <c r="A56">
        <v>163</v>
      </c>
      <c r="B56" t="s">
        <v>166</v>
      </c>
      <c r="C56" t="s">
        <v>167</v>
      </c>
      <c r="D56" s="15">
        <v>44931</v>
      </c>
      <c r="E56" t="s">
        <v>110</v>
      </c>
      <c r="F56" t="s">
        <v>74</v>
      </c>
      <c r="G56">
        <v>3</v>
      </c>
      <c r="H56" s="16">
        <v>235.26</v>
      </c>
      <c r="I56" t="s">
        <v>29</v>
      </c>
      <c r="J56" t="s">
        <v>30</v>
      </c>
      <c r="K56" s="16">
        <v>705.78</v>
      </c>
      <c r="L56">
        <f t="shared" si="2"/>
        <v>2023</v>
      </c>
      <c r="M56" t="str">
        <f t="shared" si="3"/>
        <v>2023-Q1</v>
      </c>
      <c r="N56" s="16">
        <f>IF(AND(OR(Dashboard!$C$6="All",F56=Dashboard!$C$6),OR(Dashboard!$F$6="All",I56=Dashboard!$F$6),OR(Dashboard!$I$6="All",J56=Dashboard!$I$6),OR(Dashboard!$L$6="All",L56=Dashboard!$L$6)),K56,0)</f>
        <v>705.78</v>
      </c>
      <c r="O56">
        <f>IF(AND(OR(Dashboard!$C$6="All",F56=Dashboard!$C$6),OR(Dashboard!$F$6="All",I56=Dashboard!$F$6),OR(Dashboard!$I$6="All",J56=Dashboard!$I$6),OR(Dashboard!$L$6="All",L56=Dashboard!$L$6)),G56,0)</f>
        <v>3</v>
      </c>
      <c r="P56">
        <f>IF(AND(OR(Dashboard!$C$6="All",F56=Dashboard!$C$6),OR(Dashboard!$F$6="All",I56=Dashboard!$F$6),OR(Dashboard!$I$6="All",J56=Dashboard!$I$6),OR(Dashboard!$L$6="All",L56=Dashboard!$L$6)),1,0)</f>
        <v>1</v>
      </c>
    </row>
    <row r="57" spans="1:16" x14ac:dyDescent="0.3">
      <c r="A57">
        <v>165</v>
      </c>
      <c r="B57" t="s">
        <v>168</v>
      </c>
      <c r="C57" t="s">
        <v>169</v>
      </c>
      <c r="D57" s="15">
        <v>45604</v>
      </c>
      <c r="E57" t="s">
        <v>64</v>
      </c>
      <c r="F57" t="s">
        <v>65</v>
      </c>
      <c r="G57">
        <v>2</v>
      </c>
      <c r="H57" s="16">
        <v>443.13</v>
      </c>
      <c r="I57" t="s">
        <v>55</v>
      </c>
      <c r="J57" t="s">
        <v>36</v>
      </c>
      <c r="K57" s="16">
        <v>886.26</v>
      </c>
      <c r="L57">
        <f t="shared" si="2"/>
        <v>2024</v>
      </c>
      <c r="M57" t="str">
        <f t="shared" si="3"/>
        <v>2024-Q4</v>
      </c>
      <c r="N57" s="16">
        <f>IF(AND(OR(Dashboard!$C$6="All",F57=Dashboard!$C$6),OR(Dashboard!$F$6="All",I57=Dashboard!$F$6),OR(Dashboard!$I$6="All",J57=Dashboard!$I$6),OR(Dashboard!$L$6="All",L57=Dashboard!$L$6)),K57,0)</f>
        <v>886.26</v>
      </c>
      <c r="O57">
        <f>IF(AND(OR(Dashboard!$C$6="All",F57=Dashboard!$C$6),OR(Dashboard!$F$6="All",I57=Dashboard!$F$6),OR(Dashboard!$I$6="All",J57=Dashboard!$I$6),OR(Dashboard!$L$6="All",L57=Dashboard!$L$6)),G57,0)</f>
        <v>2</v>
      </c>
      <c r="P57">
        <f>IF(AND(OR(Dashboard!$C$6="All",F57=Dashboard!$C$6),OR(Dashboard!$F$6="All",I57=Dashboard!$F$6),OR(Dashboard!$I$6="All",J57=Dashboard!$I$6),OR(Dashboard!$L$6="All",L57=Dashboard!$L$6)),1,0)</f>
        <v>1</v>
      </c>
    </row>
    <row r="58" spans="1:16" x14ac:dyDescent="0.3">
      <c r="A58">
        <v>166</v>
      </c>
      <c r="B58" t="s">
        <v>170</v>
      </c>
      <c r="C58" t="s">
        <v>171</v>
      </c>
      <c r="D58" s="15">
        <v>45841</v>
      </c>
      <c r="E58" t="s">
        <v>107</v>
      </c>
      <c r="F58" t="s">
        <v>74</v>
      </c>
      <c r="G58">
        <v>2</v>
      </c>
      <c r="H58" s="16">
        <v>569.38</v>
      </c>
      <c r="I58" t="s">
        <v>29</v>
      </c>
      <c r="J58" t="s">
        <v>30</v>
      </c>
      <c r="K58" s="16">
        <v>1138.76</v>
      </c>
      <c r="L58">
        <f t="shared" si="2"/>
        <v>2025</v>
      </c>
      <c r="M58" t="str">
        <f t="shared" si="3"/>
        <v>2025-Q3</v>
      </c>
      <c r="N58" s="16">
        <f>IF(AND(OR(Dashboard!$C$6="All",F58=Dashboard!$C$6),OR(Dashboard!$F$6="All",I58=Dashboard!$F$6),OR(Dashboard!$I$6="All",J58=Dashboard!$I$6),OR(Dashboard!$L$6="All",L58=Dashboard!$L$6)),K58,0)</f>
        <v>1138.76</v>
      </c>
      <c r="O58">
        <f>IF(AND(OR(Dashboard!$C$6="All",F58=Dashboard!$C$6),OR(Dashboard!$F$6="All",I58=Dashboard!$F$6),OR(Dashboard!$I$6="All",J58=Dashboard!$I$6),OR(Dashboard!$L$6="All",L58=Dashboard!$L$6)),G58,0)</f>
        <v>2</v>
      </c>
      <c r="P58">
        <f>IF(AND(OR(Dashboard!$C$6="All",F58=Dashboard!$C$6),OR(Dashboard!$F$6="All",I58=Dashboard!$F$6),OR(Dashboard!$I$6="All",J58=Dashboard!$I$6),OR(Dashboard!$L$6="All",L58=Dashboard!$L$6)),1,0)</f>
        <v>1</v>
      </c>
    </row>
    <row r="59" spans="1:16" x14ac:dyDescent="0.3">
      <c r="A59">
        <v>168</v>
      </c>
      <c r="B59" t="s">
        <v>172</v>
      </c>
      <c r="C59" t="s">
        <v>173</v>
      </c>
      <c r="D59" s="15">
        <v>45965</v>
      </c>
      <c r="E59" t="s">
        <v>44</v>
      </c>
      <c r="F59" t="s">
        <v>40</v>
      </c>
      <c r="G59">
        <v>2</v>
      </c>
      <c r="H59" s="16">
        <v>141.49</v>
      </c>
      <c r="I59" t="s">
        <v>35</v>
      </c>
      <c r="J59" t="s">
        <v>47</v>
      </c>
      <c r="K59" s="16">
        <v>282.98</v>
      </c>
      <c r="L59">
        <f t="shared" si="2"/>
        <v>2025</v>
      </c>
      <c r="M59" t="str">
        <f t="shared" si="3"/>
        <v>2025-Q4</v>
      </c>
      <c r="N59" s="16">
        <f>IF(AND(OR(Dashboard!$C$6="All",F59=Dashboard!$C$6),OR(Dashboard!$F$6="All",I59=Dashboard!$F$6),OR(Dashboard!$I$6="All",J59=Dashboard!$I$6),OR(Dashboard!$L$6="All",L59=Dashboard!$L$6)),K59,0)</f>
        <v>282.98</v>
      </c>
      <c r="O59">
        <f>IF(AND(OR(Dashboard!$C$6="All",F59=Dashboard!$C$6),OR(Dashboard!$F$6="All",I59=Dashboard!$F$6),OR(Dashboard!$I$6="All",J59=Dashboard!$I$6),OR(Dashboard!$L$6="All",L59=Dashboard!$L$6)),G59,0)</f>
        <v>2</v>
      </c>
      <c r="P59">
        <f>IF(AND(OR(Dashboard!$C$6="All",F59=Dashboard!$C$6),OR(Dashboard!$F$6="All",I59=Dashboard!$F$6),OR(Dashboard!$I$6="All",J59=Dashboard!$I$6),OR(Dashboard!$L$6="All",L59=Dashboard!$L$6)),1,0)</f>
        <v>1</v>
      </c>
    </row>
    <row r="60" spans="1:16" x14ac:dyDescent="0.3">
      <c r="A60">
        <v>169</v>
      </c>
      <c r="B60" t="s">
        <v>174</v>
      </c>
      <c r="C60" t="s">
        <v>175</v>
      </c>
      <c r="D60" s="15">
        <v>45881</v>
      </c>
      <c r="E60" t="s">
        <v>58</v>
      </c>
      <c r="F60" t="s">
        <v>34</v>
      </c>
      <c r="G60">
        <v>1</v>
      </c>
      <c r="H60" s="16">
        <v>582.13</v>
      </c>
      <c r="I60" t="s">
        <v>55</v>
      </c>
      <c r="J60" t="s">
        <v>50</v>
      </c>
      <c r="K60" s="16">
        <v>582.13</v>
      </c>
      <c r="L60">
        <f t="shared" si="2"/>
        <v>2025</v>
      </c>
      <c r="M60" t="str">
        <f t="shared" si="3"/>
        <v>2025-Q3</v>
      </c>
      <c r="N60" s="16">
        <f>IF(AND(OR(Dashboard!$C$6="All",F60=Dashboard!$C$6),OR(Dashboard!$F$6="All",I60=Dashboard!$F$6),OR(Dashboard!$I$6="All",J60=Dashboard!$I$6),OR(Dashboard!$L$6="All",L60=Dashboard!$L$6)),K60,0)</f>
        <v>582.13</v>
      </c>
      <c r="O60">
        <f>IF(AND(OR(Dashboard!$C$6="All",F60=Dashboard!$C$6),OR(Dashboard!$F$6="All",I60=Dashboard!$F$6),OR(Dashboard!$I$6="All",J60=Dashboard!$I$6),OR(Dashboard!$L$6="All",L60=Dashboard!$L$6)),G60,0)</f>
        <v>1</v>
      </c>
      <c r="P60">
        <f>IF(AND(OR(Dashboard!$C$6="All",F60=Dashboard!$C$6),OR(Dashboard!$F$6="All",I60=Dashboard!$F$6),OR(Dashboard!$I$6="All",J60=Dashboard!$I$6),OR(Dashboard!$L$6="All",L60=Dashboard!$L$6)),1,0)</f>
        <v>1</v>
      </c>
    </row>
    <row r="61" spans="1:16" x14ac:dyDescent="0.3">
      <c r="A61">
        <v>170</v>
      </c>
      <c r="B61" t="s">
        <v>176</v>
      </c>
      <c r="C61" t="s">
        <v>177</v>
      </c>
      <c r="D61" s="15">
        <v>45933</v>
      </c>
      <c r="E61" t="s">
        <v>178</v>
      </c>
      <c r="F61" t="s">
        <v>65</v>
      </c>
      <c r="G61">
        <v>5</v>
      </c>
      <c r="H61" s="16">
        <v>741.63</v>
      </c>
      <c r="I61" t="s">
        <v>66</v>
      </c>
      <c r="J61" t="s">
        <v>41</v>
      </c>
      <c r="K61" s="16">
        <v>3708.15</v>
      </c>
      <c r="L61">
        <f t="shared" si="2"/>
        <v>2025</v>
      </c>
      <c r="M61" t="str">
        <f t="shared" si="3"/>
        <v>2025-Q4</v>
      </c>
      <c r="N61" s="16">
        <f>IF(AND(OR(Dashboard!$C$6="All",F61=Dashboard!$C$6),OR(Dashboard!$F$6="All",I61=Dashboard!$F$6),OR(Dashboard!$I$6="All",J61=Dashboard!$I$6),OR(Dashboard!$L$6="All",L61=Dashboard!$L$6)),K61,0)</f>
        <v>3708.15</v>
      </c>
      <c r="O61">
        <f>IF(AND(OR(Dashboard!$C$6="All",F61=Dashboard!$C$6),OR(Dashboard!$F$6="All",I61=Dashboard!$F$6),OR(Dashboard!$I$6="All",J61=Dashboard!$I$6),OR(Dashboard!$L$6="All",L61=Dashboard!$L$6)),G61,0)</f>
        <v>5</v>
      </c>
      <c r="P61">
        <f>IF(AND(OR(Dashboard!$C$6="All",F61=Dashboard!$C$6),OR(Dashboard!$F$6="All",I61=Dashboard!$F$6),OR(Dashboard!$I$6="All",J61=Dashboard!$I$6),OR(Dashboard!$L$6="All",L61=Dashboard!$L$6)),1,0)</f>
        <v>1</v>
      </c>
    </row>
    <row r="62" spans="1:16" x14ac:dyDescent="0.3">
      <c r="A62">
        <v>171</v>
      </c>
      <c r="B62" t="s">
        <v>179</v>
      </c>
      <c r="C62" t="s">
        <v>180</v>
      </c>
      <c r="D62" s="15">
        <v>45632</v>
      </c>
      <c r="E62" t="s">
        <v>64</v>
      </c>
      <c r="F62" t="s">
        <v>65</v>
      </c>
      <c r="G62">
        <v>3</v>
      </c>
      <c r="H62" s="16">
        <v>688.68</v>
      </c>
      <c r="I62" t="s">
        <v>35</v>
      </c>
      <c r="J62" t="s">
        <v>41</v>
      </c>
      <c r="K62" s="16">
        <v>2066.04</v>
      </c>
      <c r="L62">
        <f t="shared" si="2"/>
        <v>2024</v>
      </c>
      <c r="M62" t="str">
        <f t="shared" si="3"/>
        <v>2024-Q4</v>
      </c>
      <c r="N62" s="16">
        <f>IF(AND(OR(Dashboard!$C$6="All",F62=Dashboard!$C$6),OR(Dashboard!$F$6="All",I62=Dashboard!$F$6),OR(Dashboard!$I$6="All",J62=Dashboard!$I$6),OR(Dashboard!$L$6="All",L62=Dashboard!$L$6)),K62,0)</f>
        <v>2066.04</v>
      </c>
      <c r="O62">
        <f>IF(AND(OR(Dashboard!$C$6="All",F62=Dashboard!$C$6),OR(Dashboard!$F$6="All",I62=Dashboard!$F$6),OR(Dashboard!$I$6="All",J62=Dashboard!$I$6),OR(Dashboard!$L$6="All",L62=Dashboard!$L$6)),G62,0)</f>
        <v>3</v>
      </c>
      <c r="P62">
        <f>IF(AND(OR(Dashboard!$C$6="All",F62=Dashboard!$C$6),OR(Dashboard!$F$6="All",I62=Dashboard!$F$6),OR(Dashboard!$I$6="All",J62=Dashboard!$I$6),OR(Dashboard!$L$6="All",L62=Dashboard!$L$6)),1,0)</f>
        <v>1</v>
      </c>
    </row>
    <row r="63" spans="1:16" x14ac:dyDescent="0.3">
      <c r="A63">
        <v>172</v>
      </c>
      <c r="B63" t="s">
        <v>181</v>
      </c>
      <c r="C63" t="s">
        <v>182</v>
      </c>
      <c r="D63" s="15">
        <v>45614</v>
      </c>
      <c r="E63" t="s">
        <v>61</v>
      </c>
      <c r="F63" t="s">
        <v>40</v>
      </c>
      <c r="G63">
        <v>2</v>
      </c>
      <c r="H63" s="16">
        <v>942.76</v>
      </c>
      <c r="I63" t="s">
        <v>66</v>
      </c>
      <c r="J63" t="s">
        <v>50</v>
      </c>
      <c r="K63" s="16">
        <v>1885.52</v>
      </c>
      <c r="L63">
        <f t="shared" si="2"/>
        <v>2024</v>
      </c>
      <c r="M63" t="str">
        <f t="shared" si="3"/>
        <v>2024-Q4</v>
      </c>
      <c r="N63" s="16">
        <f>IF(AND(OR(Dashboard!$C$6="All",F63=Dashboard!$C$6),OR(Dashboard!$F$6="All",I63=Dashboard!$F$6),OR(Dashboard!$I$6="All",J63=Dashboard!$I$6),OR(Dashboard!$L$6="All",L63=Dashboard!$L$6)),K63,0)</f>
        <v>1885.52</v>
      </c>
      <c r="O63">
        <f>IF(AND(OR(Dashboard!$C$6="All",F63=Dashboard!$C$6),OR(Dashboard!$F$6="All",I63=Dashboard!$F$6),OR(Dashboard!$I$6="All",J63=Dashboard!$I$6),OR(Dashboard!$L$6="All",L63=Dashboard!$L$6)),G63,0)</f>
        <v>2</v>
      </c>
      <c r="P63">
        <f>IF(AND(OR(Dashboard!$C$6="All",F63=Dashboard!$C$6),OR(Dashboard!$F$6="All",I63=Dashboard!$F$6),OR(Dashboard!$I$6="All",J63=Dashboard!$I$6),OR(Dashboard!$L$6="All",L63=Dashboard!$L$6)),1,0)</f>
        <v>1</v>
      </c>
    </row>
    <row r="64" spans="1:16" x14ac:dyDescent="0.3">
      <c r="A64">
        <v>173</v>
      </c>
      <c r="B64" t="s">
        <v>183</v>
      </c>
      <c r="C64" t="s">
        <v>184</v>
      </c>
      <c r="D64" s="15">
        <v>45941</v>
      </c>
      <c r="E64" t="s">
        <v>98</v>
      </c>
      <c r="F64" t="s">
        <v>28</v>
      </c>
      <c r="G64">
        <v>5</v>
      </c>
      <c r="H64" s="16">
        <v>351.89</v>
      </c>
      <c r="I64" t="s">
        <v>55</v>
      </c>
      <c r="J64" t="s">
        <v>30</v>
      </c>
      <c r="K64" s="16">
        <v>1759.45</v>
      </c>
      <c r="L64">
        <f t="shared" si="2"/>
        <v>2025</v>
      </c>
      <c r="M64" t="str">
        <f t="shared" si="3"/>
        <v>2025-Q4</v>
      </c>
      <c r="N64" s="16">
        <f>IF(AND(OR(Dashboard!$C$6="All",F64=Dashboard!$C$6),OR(Dashboard!$F$6="All",I64=Dashboard!$F$6),OR(Dashboard!$I$6="All",J64=Dashboard!$I$6),OR(Dashboard!$L$6="All",L64=Dashboard!$L$6)),K64,0)</f>
        <v>1759.45</v>
      </c>
      <c r="O64">
        <f>IF(AND(OR(Dashboard!$C$6="All",F64=Dashboard!$C$6),OR(Dashboard!$F$6="All",I64=Dashboard!$F$6),OR(Dashboard!$I$6="All",J64=Dashboard!$I$6),OR(Dashboard!$L$6="All",L64=Dashboard!$L$6)),G64,0)</f>
        <v>5</v>
      </c>
      <c r="P64">
        <f>IF(AND(OR(Dashboard!$C$6="All",F64=Dashboard!$C$6),OR(Dashboard!$F$6="All",I64=Dashboard!$F$6),OR(Dashboard!$I$6="All",J64=Dashboard!$I$6),OR(Dashboard!$L$6="All",L64=Dashboard!$L$6)),1,0)</f>
        <v>1</v>
      </c>
    </row>
    <row r="65" spans="1:16" x14ac:dyDescent="0.3">
      <c r="A65">
        <v>174</v>
      </c>
      <c r="B65" t="s">
        <v>185</v>
      </c>
      <c r="C65" t="s">
        <v>186</v>
      </c>
      <c r="D65" s="15">
        <v>45920</v>
      </c>
      <c r="E65" t="s">
        <v>86</v>
      </c>
      <c r="F65" t="s">
        <v>74</v>
      </c>
      <c r="G65">
        <v>4</v>
      </c>
      <c r="H65" s="16">
        <v>187.48</v>
      </c>
      <c r="I65" t="s">
        <v>55</v>
      </c>
      <c r="J65" t="s">
        <v>50</v>
      </c>
      <c r="K65" s="16">
        <v>749.92</v>
      </c>
      <c r="L65">
        <f t="shared" si="2"/>
        <v>2025</v>
      </c>
      <c r="M65" t="str">
        <f t="shared" si="3"/>
        <v>2025-Q3</v>
      </c>
      <c r="N65" s="16">
        <f>IF(AND(OR(Dashboard!$C$6="All",F65=Dashboard!$C$6),OR(Dashboard!$F$6="All",I65=Dashboard!$F$6),OR(Dashboard!$I$6="All",J65=Dashboard!$I$6),OR(Dashboard!$L$6="All",L65=Dashboard!$L$6)),K65,0)</f>
        <v>749.92</v>
      </c>
      <c r="O65">
        <f>IF(AND(OR(Dashboard!$C$6="All",F65=Dashboard!$C$6),OR(Dashboard!$F$6="All",I65=Dashboard!$F$6),OR(Dashboard!$I$6="All",J65=Dashboard!$I$6),OR(Dashboard!$L$6="All",L65=Dashboard!$L$6)),G65,0)</f>
        <v>4</v>
      </c>
      <c r="P65">
        <f>IF(AND(OR(Dashboard!$C$6="All",F65=Dashboard!$C$6),OR(Dashboard!$F$6="All",I65=Dashboard!$F$6),OR(Dashboard!$I$6="All",J65=Dashboard!$I$6),OR(Dashboard!$L$6="All",L65=Dashboard!$L$6)),1,0)</f>
        <v>1</v>
      </c>
    </row>
    <row r="66" spans="1:16" x14ac:dyDescent="0.3">
      <c r="A66">
        <v>175</v>
      </c>
      <c r="B66" t="s">
        <v>187</v>
      </c>
      <c r="C66" t="s">
        <v>188</v>
      </c>
      <c r="D66" s="15">
        <v>45712</v>
      </c>
      <c r="E66" t="s">
        <v>189</v>
      </c>
      <c r="F66" t="s">
        <v>74</v>
      </c>
      <c r="G66">
        <v>1</v>
      </c>
      <c r="H66" s="16">
        <v>111.36</v>
      </c>
      <c r="I66" t="s">
        <v>55</v>
      </c>
      <c r="J66" t="s">
        <v>41</v>
      </c>
      <c r="K66" s="16">
        <v>111.36</v>
      </c>
      <c r="L66">
        <f t="shared" ref="L66:L81" si="4">YEAR(D66)</f>
        <v>2025</v>
      </c>
      <c r="M66" t="str">
        <f t="shared" ref="M66:M81" si="5">YEAR(D66)&amp;"-Q"&amp;ROUNDUP(MONTH(D66)/3,0)</f>
        <v>2025-Q1</v>
      </c>
      <c r="N66" s="16">
        <f>IF(AND(OR(Dashboard!$C$6="All",F66=Dashboard!$C$6),OR(Dashboard!$F$6="All",I66=Dashboard!$F$6),OR(Dashboard!$I$6="All",J66=Dashboard!$I$6),OR(Dashboard!$L$6="All",L66=Dashboard!$L$6)),K66,0)</f>
        <v>111.36</v>
      </c>
      <c r="O66">
        <f>IF(AND(OR(Dashboard!$C$6="All",F66=Dashboard!$C$6),OR(Dashboard!$F$6="All",I66=Dashboard!$F$6),OR(Dashboard!$I$6="All",J66=Dashboard!$I$6),OR(Dashboard!$L$6="All",L66=Dashboard!$L$6)),G66,0)</f>
        <v>1</v>
      </c>
      <c r="P66">
        <f>IF(AND(OR(Dashboard!$C$6="All",F66=Dashboard!$C$6),OR(Dashboard!$F$6="All",I66=Dashboard!$F$6),OR(Dashboard!$I$6="All",J66=Dashboard!$I$6),OR(Dashboard!$L$6="All",L66=Dashboard!$L$6)),1,0)</f>
        <v>1</v>
      </c>
    </row>
    <row r="67" spans="1:16" x14ac:dyDescent="0.3">
      <c r="A67">
        <v>176</v>
      </c>
      <c r="B67" t="s">
        <v>190</v>
      </c>
      <c r="C67" t="s">
        <v>191</v>
      </c>
      <c r="D67" s="15">
        <v>45860</v>
      </c>
      <c r="E67" t="s">
        <v>61</v>
      </c>
      <c r="F67" t="s">
        <v>40</v>
      </c>
      <c r="G67">
        <v>5</v>
      </c>
      <c r="H67" s="16">
        <v>530.52</v>
      </c>
      <c r="I67" t="s">
        <v>29</v>
      </c>
      <c r="J67" t="s">
        <v>30</v>
      </c>
      <c r="K67" s="16">
        <v>2652.6</v>
      </c>
      <c r="L67">
        <f t="shared" si="4"/>
        <v>2025</v>
      </c>
      <c r="M67" t="str">
        <f t="shared" si="5"/>
        <v>2025-Q3</v>
      </c>
      <c r="N67" s="16">
        <f>IF(AND(OR(Dashboard!$C$6="All",F67=Dashboard!$C$6),OR(Dashboard!$F$6="All",I67=Dashboard!$F$6),OR(Dashboard!$I$6="All",J67=Dashboard!$I$6),OR(Dashboard!$L$6="All",L67=Dashboard!$L$6)),K67,0)</f>
        <v>2652.6</v>
      </c>
      <c r="O67">
        <f>IF(AND(OR(Dashboard!$C$6="All",F67=Dashboard!$C$6),OR(Dashboard!$F$6="All",I67=Dashboard!$F$6),OR(Dashboard!$I$6="All",J67=Dashboard!$I$6),OR(Dashboard!$L$6="All",L67=Dashboard!$L$6)),G67,0)</f>
        <v>5</v>
      </c>
      <c r="P67">
        <f>IF(AND(OR(Dashboard!$C$6="All",F67=Dashboard!$C$6),OR(Dashboard!$F$6="All",I67=Dashboard!$F$6),OR(Dashboard!$I$6="All",J67=Dashboard!$I$6),OR(Dashboard!$L$6="All",L67=Dashboard!$L$6)),1,0)</f>
        <v>1</v>
      </c>
    </row>
    <row r="68" spans="1:16" x14ac:dyDescent="0.3">
      <c r="A68">
        <v>177</v>
      </c>
      <c r="B68" t="s">
        <v>192</v>
      </c>
      <c r="C68" t="s">
        <v>193</v>
      </c>
      <c r="D68" s="15">
        <v>45866</v>
      </c>
      <c r="E68" t="s">
        <v>131</v>
      </c>
      <c r="F68" t="s">
        <v>74</v>
      </c>
      <c r="G68">
        <v>1</v>
      </c>
      <c r="H68" s="16">
        <v>69.48</v>
      </c>
      <c r="I68" t="s">
        <v>66</v>
      </c>
      <c r="J68" t="s">
        <v>50</v>
      </c>
      <c r="K68" s="16">
        <v>69.48</v>
      </c>
      <c r="L68">
        <f t="shared" si="4"/>
        <v>2025</v>
      </c>
      <c r="M68" t="str">
        <f t="shared" si="5"/>
        <v>2025-Q3</v>
      </c>
      <c r="N68" s="16">
        <f>IF(AND(OR(Dashboard!$C$6="All",F68=Dashboard!$C$6),OR(Dashboard!$F$6="All",I68=Dashboard!$F$6),OR(Dashboard!$I$6="All",J68=Dashboard!$I$6),OR(Dashboard!$L$6="All",L68=Dashboard!$L$6)),K68,0)</f>
        <v>69.48</v>
      </c>
      <c r="O68">
        <f>IF(AND(OR(Dashboard!$C$6="All",F68=Dashboard!$C$6),OR(Dashboard!$F$6="All",I68=Dashboard!$F$6),OR(Dashboard!$I$6="All",J68=Dashboard!$I$6),OR(Dashboard!$L$6="All",L68=Dashboard!$L$6)),G68,0)</f>
        <v>1</v>
      </c>
      <c r="P68">
        <f>IF(AND(OR(Dashboard!$C$6="All",F68=Dashboard!$C$6),OR(Dashboard!$F$6="All",I68=Dashboard!$F$6),OR(Dashboard!$I$6="All",J68=Dashboard!$I$6),OR(Dashboard!$L$6="All",L68=Dashboard!$L$6)),1,0)</f>
        <v>1</v>
      </c>
    </row>
    <row r="69" spans="1:16" x14ac:dyDescent="0.3">
      <c r="A69">
        <v>178</v>
      </c>
      <c r="B69" t="s">
        <v>194</v>
      </c>
      <c r="C69" t="s">
        <v>195</v>
      </c>
      <c r="D69" s="15">
        <v>45918</v>
      </c>
      <c r="E69" t="s">
        <v>33</v>
      </c>
      <c r="F69" t="s">
        <v>34</v>
      </c>
      <c r="G69">
        <v>3</v>
      </c>
      <c r="H69" s="16">
        <v>472.14</v>
      </c>
      <c r="I69" t="s">
        <v>35</v>
      </c>
      <c r="J69" t="s">
        <v>50</v>
      </c>
      <c r="K69" s="16">
        <v>1416.42</v>
      </c>
      <c r="L69">
        <f t="shared" si="4"/>
        <v>2025</v>
      </c>
      <c r="M69" t="str">
        <f t="shared" si="5"/>
        <v>2025-Q3</v>
      </c>
      <c r="N69" s="16">
        <f>IF(AND(OR(Dashboard!$C$6="All",F69=Dashboard!$C$6),OR(Dashboard!$F$6="All",I69=Dashboard!$F$6),OR(Dashboard!$I$6="All",J69=Dashboard!$I$6),OR(Dashboard!$L$6="All",L69=Dashboard!$L$6)),K69,0)</f>
        <v>1416.42</v>
      </c>
      <c r="O69">
        <f>IF(AND(OR(Dashboard!$C$6="All",F69=Dashboard!$C$6),OR(Dashboard!$F$6="All",I69=Dashboard!$F$6),OR(Dashboard!$I$6="All",J69=Dashboard!$I$6),OR(Dashboard!$L$6="All",L69=Dashboard!$L$6)),G69,0)</f>
        <v>3</v>
      </c>
      <c r="P69">
        <f>IF(AND(OR(Dashboard!$C$6="All",F69=Dashboard!$C$6),OR(Dashboard!$F$6="All",I69=Dashboard!$F$6),OR(Dashboard!$I$6="All",J69=Dashboard!$I$6),OR(Dashboard!$L$6="All",L69=Dashboard!$L$6)),1,0)</f>
        <v>1</v>
      </c>
    </row>
    <row r="70" spans="1:16" x14ac:dyDescent="0.3">
      <c r="A70">
        <v>179</v>
      </c>
      <c r="B70" t="s">
        <v>196</v>
      </c>
      <c r="C70" t="s">
        <v>197</v>
      </c>
      <c r="D70" s="15">
        <v>45903</v>
      </c>
      <c r="E70" t="s">
        <v>81</v>
      </c>
      <c r="F70" t="s">
        <v>34</v>
      </c>
      <c r="G70">
        <v>3</v>
      </c>
      <c r="H70" s="16">
        <v>868.67</v>
      </c>
      <c r="I70" t="s">
        <v>35</v>
      </c>
      <c r="J70" t="s">
        <v>36</v>
      </c>
      <c r="K70" s="16">
        <v>2606.0100000000002</v>
      </c>
      <c r="L70">
        <f t="shared" si="4"/>
        <v>2025</v>
      </c>
      <c r="M70" t="str">
        <f t="shared" si="5"/>
        <v>2025-Q3</v>
      </c>
      <c r="N70" s="16">
        <f>IF(AND(OR(Dashboard!$C$6="All",F70=Dashboard!$C$6),OR(Dashboard!$F$6="All",I70=Dashboard!$F$6),OR(Dashboard!$I$6="All",J70=Dashboard!$I$6),OR(Dashboard!$L$6="All",L70=Dashboard!$L$6)),K70,0)</f>
        <v>2606.0100000000002</v>
      </c>
      <c r="O70">
        <f>IF(AND(OR(Dashboard!$C$6="All",F70=Dashboard!$C$6),OR(Dashboard!$F$6="All",I70=Dashboard!$F$6),OR(Dashboard!$I$6="All",J70=Dashboard!$I$6),OR(Dashboard!$L$6="All",L70=Dashboard!$L$6)),G70,0)</f>
        <v>3</v>
      </c>
      <c r="P70">
        <f>IF(AND(OR(Dashboard!$C$6="All",F70=Dashboard!$C$6),OR(Dashboard!$F$6="All",I70=Dashboard!$F$6),OR(Dashboard!$I$6="All",J70=Dashboard!$I$6),OR(Dashboard!$L$6="All",L70=Dashboard!$L$6)),1,0)</f>
        <v>1</v>
      </c>
    </row>
    <row r="71" spans="1:16" x14ac:dyDescent="0.3">
      <c r="A71">
        <v>185</v>
      </c>
      <c r="B71" t="s">
        <v>198</v>
      </c>
      <c r="C71" t="s">
        <v>199</v>
      </c>
      <c r="D71" s="15">
        <v>45883</v>
      </c>
      <c r="E71" t="s">
        <v>128</v>
      </c>
      <c r="F71" t="s">
        <v>34</v>
      </c>
      <c r="G71">
        <v>2</v>
      </c>
      <c r="H71" s="16">
        <v>730.92</v>
      </c>
      <c r="I71" t="s">
        <v>29</v>
      </c>
      <c r="J71" t="s">
        <v>47</v>
      </c>
      <c r="K71" s="16">
        <v>1461.84</v>
      </c>
      <c r="L71">
        <f t="shared" si="4"/>
        <v>2025</v>
      </c>
      <c r="M71" t="str">
        <f t="shared" si="5"/>
        <v>2025-Q3</v>
      </c>
      <c r="N71" s="16">
        <f>IF(AND(OR(Dashboard!$C$6="All",F71=Dashboard!$C$6),OR(Dashboard!$F$6="All",I71=Dashboard!$F$6),OR(Dashboard!$I$6="All",J71=Dashboard!$I$6),OR(Dashboard!$L$6="All",L71=Dashboard!$L$6)),K71,0)</f>
        <v>1461.84</v>
      </c>
      <c r="O71">
        <f>IF(AND(OR(Dashboard!$C$6="All",F71=Dashboard!$C$6),OR(Dashboard!$F$6="All",I71=Dashboard!$F$6),OR(Dashboard!$I$6="All",J71=Dashboard!$I$6),OR(Dashboard!$L$6="All",L71=Dashboard!$L$6)),G71,0)</f>
        <v>2</v>
      </c>
      <c r="P71">
        <f>IF(AND(OR(Dashboard!$C$6="All",F71=Dashboard!$C$6),OR(Dashboard!$F$6="All",I71=Dashboard!$F$6),OR(Dashboard!$I$6="All",J71=Dashboard!$I$6),OR(Dashboard!$L$6="All",L71=Dashboard!$L$6)),1,0)</f>
        <v>1</v>
      </c>
    </row>
    <row r="72" spans="1:16" x14ac:dyDescent="0.3">
      <c r="A72">
        <v>186</v>
      </c>
      <c r="B72" t="s">
        <v>200</v>
      </c>
      <c r="C72" t="s">
        <v>201</v>
      </c>
      <c r="D72" s="15">
        <v>45936</v>
      </c>
      <c r="E72" t="s">
        <v>131</v>
      </c>
      <c r="F72" t="s">
        <v>74</v>
      </c>
      <c r="G72">
        <v>1</v>
      </c>
      <c r="H72" s="16">
        <v>365.34</v>
      </c>
      <c r="I72" t="s">
        <v>66</v>
      </c>
      <c r="J72" t="s">
        <v>36</v>
      </c>
      <c r="K72" s="16">
        <v>365.34</v>
      </c>
      <c r="L72">
        <f t="shared" si="4"/>
        <v>2025</v>
      </c>
      <c r="M72" t="str">
        <f t="shared" si="5"/>
        <v>2025-Q4</v>
      </c>
      <c r="N72" s="16">
        <f>IF(AND(OR(Dashboard!$C$6="All",F72=Dashboard!$C$6),OR(Dashboard!$F$6="All",I72=Dashboard!$F$6),OR(Dashboard!$I$6="All",J72=Dashboard!$I$6),OR(Dashboard!$L$6="All",L72=Dashboard!$L$6)),K72,0)</f>
        <v>365.34</v>
      </c>
      <c r="O72">
        <f>IF(AND(OR(Dashboard!$C$6="All",F72=Dashboard!$C$6),OR(Dashboard!$F$6="All",I72=Dashboard!$F$6),OR(Dashboard!$I$6="All",J72=Dashboard!$I$6),OR(Dashboard!$L$6="All",L72=Dashboard!$L$6)),G72,0)</f>
        <v>1</v>
      </c>
      <c r="P72">
        <f>IF(AND(OR(Dashboard!$C$6="All",F72=Dashboard!$C$6),OR(Dashboard!$F$6="All",I72=Dashboard!$F$6),OR(Dashboard!$I$6="All",J72=Dashboard!$I$6),OR(Dashboard!$L$6="All",L72=Dashboard!$L$6)),1,0)</f>
        <v>1</v>
      </c>
    </row>
    <row r="73" spans="1:16" x14ac:dyDescent="0.3">
      <c r="A73">
        <v>187</v>
      </c>
      <c r="B73" t="s">
        <v>202</v>
      </c>
      <c r="C73" t="s">
        <v>203</v>
      </c>
      <c r="D73" s="15">
        <v>45615</v>
      </c>
      <c r="E73" t="s">
        <v>117</v>
      </c>
      <c r="F73" t="s">
        <v>74</v>
      </c>
      <c r="G73">
        <v>3</v>
      </c>
      <c r="H73" s="16">
        <v>882.96</v>
      </c>
      <c r="I73" t="s">
        <v>66</v>
      </c>
      <c r="J73" t="s">
        <v>50</v>
      </c>
      <c r="K73" s="16">
        <v>2648.88</v>
      </c>
      <c r="L73">
        <f t="shared" si="4"/>
        <v>2024</v>
      </c>
      <c r="M73" t="str">
        <f t="shared" si="5"/>
        <v>2024-Q4</v>
      </c>
      <c r="N73" s="16">
        <f>IF(AND(OR(Dashboard!$C$6="All",F73=Dashboard!$C$6),OR(Dashboard!$F$6="All",I73=Dashboard!$F$6),OR(Dashboard!$I$6="All",J73=Dashboard!$I$6),OR(Dashboard!$L$6="All",L73=Dashboard!$L$6)),K73,0)</f>
        <v>2648.88</v>
      </c>
      <c r="O73">
        <f>IF(AND(OR(Dashboard!$C$6="All",F73=Dashboard!$C$6),OR(Dashboard!$F$6="All",I73=Dashboard!$F$6),OR(Dashboard!$I$6="All",J73=Dashboard!$I$6),OR(Dashboard!$L$6="All",L73=Dashboard!$L$6)),G73,0)</f>
        <v>3</v>
      </c>
      <c r="P73">
        <f>IF(AND(OR(Dashboard!$C$6="All",F73=Dashboard!$C$6),OR(Dashboard!$F$6="All",I73=Dashboard!$F$6),OR(Dashboard!$I$6="All",J73=Dashboard!$I$6),OR(Dashboard!$L$6="All",L73=Dashboard!$L$6)),1,0)</f>
        <v>1</v>
      </c>
    </row>
    <row r="74" spans="1:16" x14ac:dyDescent="0.3">
      <c r="A74">
        <v>188</v>
      </c>
      <c r="B74" t="s">
        <v>204</v>
      </c>
      <c r="C74" t="s">
        <v>205</v>
      </c>
      <c r="D74" s="15">
        <v>45615</v>
      </c>
      <c r="E74" t="s">
        <v>86</v>
      </c>
      <c r="F74" t="s">
        <v>28</v>
      </c>
      <c r="G74">
        <v>5</v>
      </c>
      <c r="H74" s="16">
        <v>504.05</v>
      </c>
      <c r="I74" t="s">
        <v>29</v>
      </c>
      <c r="J74" t="s">
        <v>30</v>
      </c>
      <c r="K74" s="16">
        <v>2520.25</v>
      </c>
      <c r="L74">
        <f t="shared" si="4"/>
        <v>2024</v>
      </c>
      <c r="M74" t="str">
        <f t="shared" si="5"/>
        <v>2024-Q4</v>
      </c>
      <c r="N74" s="16">
        <f>IF(AND(OR(Dashboard!$C$6="All",F74=Dashboard!$C$6),OR(Dashboard!$F$6="All",I74=Dashboard!$F$6),OR(Dashboard!$I$6="All",J74=Dashboard!$I$6),OR(Dashboard!$L$6="All",L74=Dashboard!$L$6)),K74,0)</f>
        <v>2520.25</v>
      </c>
      <c r="O74">
        <f>IF(AND(OR(Dashboard!$C$6="All",F74=Dashboard!$C$6),OR(Dashboard!$F$6="All",I74=Dashboard!$F$6),OR(Dashboard!$I$6="All",J74=Dashboard!$I$6),OR(Dashboard!$L$6="All",L74=Dashboard!$L$6)),G74,0)</f>
        <v>5</v>
      </c>
      <c r="P74">
        <f>IF(AND(OR(Dashboard!$C$6="All",F74=Dashboard!$C$6),OR(Dashboard!$F$6="All",I74=Dashboard!$F$6),OR(Dashboard!$I$6="All",J74=Dashboard!$I$6),OR(Dashboard!$L$6="All",L74=Dashboard!$L$6)),1,0)</f>
        <v>1</v>
      </c>
    </row>
    <row r="75" spans="1:16" x14ac:dyDescent="0.3">
      <c r="A75">
        <v>189</v>
      </c>
      <c r="B75" t="s">
        <v>206</v>
      </c>
      <c r="C75" t="s">
        <v>207</v>
      </c>
      <c r="D75" s="15">
        <v>45883</v>
      </c>
      <c r="E75" t="s">
        <v>98</v>
      </c>
      <c r="F75" t="s">
        <v>28</v>
      </c>
      <c r="G75">
        <v>1</v>
      </c>
      <c r="H75" s="16">
        <v>814.68</v>
      </c>
      <c r="I75" t="s">
        <v>29</v>
      </c>
      <c r="J75" t="s">
        <v>50</v>
      </c>
      <c r="K75" s="16">
        <v>814.68</v>
      </c>
      <c r="L75">
        <f t="shared" si="4"/>
        <v>2025</v>
      </c>
      <c r="M75" t="str">
        <f t="shared" si="5"/>
        <v>2025-Q3</v>
      </c>
      <c r="N75" s="16">
        <f>IF(AND(OR(Dashboard!$C$6="All",F75=Dashboard!$C$6),OR(Dashboard!$F$6="All",I75=Dashboard!$F$6),OR(Dashboard!$I$6="All",J75=Dashboard!$I$6),OR(Dashboard!$L$6="All",L75=Dashboard!$L$6)),K75,0)</f>
        <v>814.68</v>
      </c>
      <c r="O75">
        <f>IF(AND(OR(Dashboard!$C$6="All",F75=Dashboard!$C$6),OR(Dashboard!$F$6="All",I75=Dashboard!$F$6),OR(Dashboard!$I$6="All",J75=Dashboard!$I$6),OR(Dashboard!$L$6="All",L75=Dashboard!$L$6)),G75,0)</f>
        <v>1</v>
      </c>
      <c r="P75">
        <f>IF(AND(OR(Dashboard!$C$6="All",F75=Dashboard!$C$6),OR(Dashboard!$F$6="All",I75=Dashboard!$F$6),OR(Dashboard!$I$6="All",J75=Dashboard!$I$6),OR(Dashboard!$L$6="All",L75=Dashboard!$L$6)),1,0)</f>
        <v>1</v>
      </c>
    </row>
    <row r="76" spans="1:16" x14ac:dyDescent="0.3">
      <c r="A76">
        <v>190</v>
      </c>
      <c r="B76" t="s">
        <v>208</v>
      </c>
      <c r="C76" t="s">
        <v>209</v>
      </c>
      <c r="D76" s="15">
        <v>45837</v>
      </c>
      <c r="E76" t="s">
        <v>89</v>
      </c>
      <c r="F76" t="s">
        <v>28</v>
      </c>
      <c r="G76">
        <v>1</v>
      </c>
      <c r="H76" s="16">
        <v>920.37</v>
      </c>
      <c r="I76" t="s">
        <v>66</v>
      </c>
      <c r="J76" t="s">
        <v>41</v>
      </c>
      <c r="K76" s="16">
        <v>920.37</v>
      </c>
      <c r="L76">
        <f t="shared" si="4"/>
        <v>2025</v>
      </c>
      <c r="M76" t="str">
        <f t="shared" si="5"/>
        <v>2025-Q2</v>
      </c>
      <c r="N76" s="16">
        <f>IF(AND(OR(Dashboard!$C$6="All",F76=Dashboard!$C$6),OR(Dashboard!$F$6="All",I76=Dashboard!$F$6),OR(Dashboard!$I$6="All",J76=Dashboard!$I$6),OR(Dashboard!$L$6="All",L76=Dashboard!$L$6)),K76,0)</f>
        <v>920.37</v>
      </c>
      <c r="O76">
        <f>IF(AND(OR(Dashboard!$C$6="All",F76=Dashboard!$C$6),OR(Dashboard!$F$6="All",I76=Dashboard!$F$6),OR(Dashboard!$I$6="All",J76=Dashboard!$I$6),OR(Dashboard!$L$6="All",L76=Dashboard!$L$6)),G76,0)</f>
        <v>1</v>
      </c>
      <c r="P76">
        <f>IF(AND(OR(Dashboard!$C$6="All",F76=Dashboard!$C$6),OR(Dashboard!$F$6="All",I76=Dashboard!$F$6),OR(Dashboard!$I$6="All",J76=Dashboard!$I$6),OR(Dashboard!$L$6="All",L76=Dashboard!$L$6)),1,0)</f>
        <v>1</v>
      </c>
    </row>
    <row r="77" spans="1:16" x14ac:dyDescent="0.3">
      <c r="A77">
        <v>191</v>
      </c>
      <c r="B77" t="s">
        <v>210</v>
      </c>
      <c r="C77" t="s">
        <v>211</v>
      </c>
      <c r="D77" s="15">
        <v>45856</v>
      </c>
      <c r="E77" t="s">
        <v>69</v>
      </c>
      <c r="F77" t="s">
        <v>40</v>
      </c>
      <c r="G77">
        <v>2</v>
      </c>
      <c r="H77" s="16">
        <v>881.02</v>
      </c>
      <c r="I77" t="s">
        <v>29</v>
      </c>
      <c r="J77" t="s">
        <v>50</v>
      </c>
      <c r="K77" s="16">
        <v>1762.04</v>
      </c>
      <c r="L77">
        <f t="shared" si="4"/>
        <v>2025</v>
      </c>
      <c r="M77" t="str">
        <f t="shared" si="5"/>
        <v>2025-Q3</v>
      </c>
      <c r="N77" s="16">
        <f>IF(AND(OR(Dashboard!$C$6="All",F77=Dashboard!$C$6),OR(Dashboard!$F$6="All",I77=Dashboard!$F$6),OR(Dashboard!$I$6="All",J77=Dashboard!$I$6),OR(Dashboard!$L$6="All",L77=Dashboard!$L$6)),K77,0)</f>
        <v>1762.04</v>
      </c>
      <c r="O77">
        <f>IF(AND(OR(Dashboard!$C$6="All",F77=Dashboard!$C$6),OR(Dashboard!$F$6="All",I77=Dashboard!$F$6),OR(Dashboard!$I$6="All",J77=Dashboard!$I$6),OR(Dashboard!$L$6="All",L77=Dashboard!$L$6)),G77,0)</f>
        <v>2</v>
      </c>
      <c r="P77">
        <f>IF(AND(OR(Dashboard!$C$6="All",F77=Dashboard!$C$6),OR(Dashboard!$F$6="All",I77=Dashboard!$F$6),OR(Dashboard!$I$6="All",J77=Dashboard!$I$6),OR(Dashboard!$L$6="All",L77=Dashboard!$L$6)),1,0)</f>
        <v>1</v>
      </c>
    </row>
    <row r="78" spans="1:16" x14ac:dyDescent="0.3">
      <c r="A78">
        <v>194</v>
      </c>
      <c r="B78" t="s">
        <v>212</v>
      </c>
      <c r="C78" t="s">
        <v>213</v>
      </c>
      <c r="D78" s="15">
        <v>45698</v>
      </c>
      <c r="E78" t="s">
        <v>98</v>
      </c>
      <c r="F78" t="s">
        <v>28</v>
      </c>
      <c r="G78">
        <v>5</v>
      </c>
      <c r="H78" s="16">
        <v>944.54</v>
      </c>
      <c r="I78" t="s">
        <v>29</v>
      </c>
      <c r="J78" t="s">
        <v>50</v>
      </c>
      <c r="K78" s="16">
        <v>4722.7</v>
      </c>
      <c r="L78">
        <f t="shared" si="4"/>
        <v>2025</v>
      </c>
      <c r="M78" t="str">
        <f t="shared" si="5"/>
        <v>2025-Q1</v>
      </c>
      <c r="N78" s="16">
        <f>IF(AND(OR(Dashboard!$C$6="All",F78=Dashboard!$C$6),OR(Dashboard!$F$6="All",I78=Dashboard!$F$6),OR(Dashboard!$I$6="All",J78=Dashboard!$I$6),OR(Dashboard!$L$6="All",L78=Dashboard!$L$6)),K78,0)</f>
        <v>4722.7</v>
      </c>
      <c r="O78">
        <f>IF(AND(OR(Dashboard!$C$6="All",F78=Dashboard!$C$6),OR(Dashboard!$F$6="All",I78=Dashboard!$F$6),OR(Dashboard!$I$6="All",J78=Dashboard!$I$6),OR(Dashboard!$L$6="All",L78=Dashboard!$L$6)),G78,0)</f>
        <v>5</v>
      </c>
      <c r="P78">
        <f>IF(AND(OR(Dashboard!$C$6="All",F78=Dashboard!$C$6),OR(Dashboard!$F$6="All",I78=Dashboard!$F$6),OR(Dashboard!$I$6="All",J78=Dashboard!$I$6),OR(Dashboard!$L$6="All",L78=Dashboard!$L$6)),1,0)</f>
        <v>1</v>
      </c>
    </row>
    <row r="79" spans="1:16" x14ac:dyDescent="0.3">
      <c r="A79">
        <v>195</v>
      </c>
      <c r="B79" t="s">
        <v>214</v>
      </c>
      <c r="C79" t="s">
        <v>215</v>
      </c>
      <c r="D79" s="15">
        <v>45827</v>
      </c>
      <c r="E79" t="s">
        <v>44</v>
      </c>
      <c r="F79" t="s">
        <v>40</v>
      </c>
      <c r="G79">
        <v>5</v>
      </c>
      <c r="H79" s="16">
        <v>817.46</v>
      </c>
      <c r="I79" t="s">
        <v>29</v>
      </c>
      <c r="J79" t="s">
        <v>50</v>
      </c>
      <c r="K79" s="16">
        <v>4087.3</v>
      </c>
      <c r="L79">
        <f t="shared" si="4"/>
        <v>2025</v>
      </c>
      <c r="M79" t="str">
        <f t="shared" si="5"/>
        <v>2025-Q2</v>
      </c>
      <c r="N79" s="16">
        <f>IF(AND(OR(Dashboard!$C$6="All",F79=Dashboard!$C$6),OR(Dashboard!$F$6="All",I79=Dashboard!$F$6),OR(Dashboard!$I$6="All",J79=Dashboard!$I$6),OR(Dashboard!$L$6="All",L79=Dashboard!$L$6)),K79,0)</f>
        <v>4087.3</v>
      </c>
      <c r="O79">
        <f>IF(AND(OR(Dashboard!$C$6="All",F79=Dashboard!$C$6),OR(Dashboard!$F$6="All",I79=Dashboard!$F$6),OR(Dashboard!$I$6="All",J79=Dashboard!$I$6),OR(Dashboard!$L$6="All",L79=Dashboard!$L$6)),G79,0)</f>
        <v>5</v>
      </c>
      <c r="P79">
        <f>IF(AND(OR(Dashboard!$C$6="All",F79=Dashboard!$C$6),OR(Dashboard!$F$6="All",I79=Dashboard!$F$6),OR(Dashboard!$I$6="All",J79=Dashboard!$I$6),OR(Dashboard!$L$6="All",L79=Dashboard!$L$6)),1,0)</f>
        <v>1</v>
      </c>
    </row>
    <row r="80" spans="1:16" x14ac:dyDescent="0.3">
      <c r="A80">
        <v>197</v>
      </c>
      <c r="B80" t="s">
        <v>216</v>
      </c>
      <c r="C80" t="s">
        <v>217</v>
      </c>
      <c r="D80" s="15">
        <v>45831</v>
      </c>
      <c r="E80" t="s">
        <v>27</v>
      </c>
      <c r="F80" t="s">
        <v>28</v>
      </c>
      <c r="G80">
        <v>1</v>
      </c>
      <c r="H80" s="16">
        <v>160.16</v>
      </c>
      <c r="I80" t="s">
        <v>35</v>
      </c>
      <c r="J80" t="s">
        <v>47</v>
      </c>
      <c r="K80" s="16">
        <v>160.16</v>
      </c>
      <c r="L80">
        <f t="shared" si="4"/>
        <v>2025</v>
      </c>
      <c r="M80" t="str">
        <f t="shared" si="5"/>
        <v>2025-Q2</v>
      </c>
      <c r="N80" s="16">
        <f>IF(AND(OR(Dashboard!$C$6="All",F80=Dashboard!$C$6),OR(Dashboard!$F$6="All",I80=Dashboard!$F$6),OR(Dashboard!$I$6="All",J80=Dashboard!$I$6),OR(Dashboard!$L$6="All",L80=Dashboard!$L$6)),K80,0)</f>
        <v>160.16</v>
      </c>
      <c r="O80">
        <f>IF(AND(OR(Dashboard!$C$6="All",F80=Dashboard!$C$6),OR(Dashboard!$F$6="All",I80=Dashboard!$F$6),OR(Dashboard!$I$6="All",J80=Dashboard!$I$6),OR(Dashboard!$L$6="All",L80=Dashboard!$L$6)),G80,0)</f>
        <v>1</v>
      </c>
      <c r="P80">
        <f>IF(AND(OR(Dashboard!$C$6="All",F80=Dashboard!$C$6),OR(Dashboard!$F$6="All",I80=Dashboard!$F$6),OR(Dashboard!$I$6="All",J80=Dashboard!$I$6),OR(Dashboard!$L$6="All",L80=Dashboard!$L$6)),1,0)</f>
        <v>1</v>
      </c>
    </row>
    <row r="81" spans="1:16" x14ac:dyDescent="0.3">
      <c r="A81">
        <v>199</v>
      </c>
      <c r="B81" t="s">
        <v>218</v>
      </c>
      <c r="C81" t="s">
        <v>219</v>
      </c>
      <c r="D81" s="15">
        <v>45679</v>
      </c>
      <c r="E81" t="s">
        <v>27</v>
      </c>
      <c r="F81" t="s">
        <v>28</v>
      </c>
      <c r="G81">
        <v>5</v>
      </c>
      <c r="H81" s="16">
        <v>372.28</v>
      </c>
      <c r="I81" t="s">
        <v>55</v>
      </c>
      <c r="J81" t="s">
        <v>30</v>
      </c>
      <c r="K81" s="16">
        <v>1861.4</v>
      </c>
      <c r="L81">
        <f t="shared" si="4"/>
        <v>2025</v>
      </c>
      <c r="M81" t="str">
        <f t="shared" si="5"/>
        <v>2025-Q1</v>
      </c>
      <c r="N81" s="16">
        <f>IF(AND(OR(Dashboard!$C$6="All",F81=Dashboard!$C$6),OR(Dashboard!$F$6="All",I81=Dashboard!$F$6),OR(Dashboard!$I$6="All",J81=Dashboard!$I$6),OR(Dashboard!$L$6="All",L81=Dashboard!$L$6)),K81,0)</f>
        <v>1861.4</v>
      </c>
      <c r="O81">
        <f>IF(AND(OR(Dashboard!$C$6="All",F81=Dashboard!$C$6),OR(Dashboard!$F$6="All",I81=Dashboard!$F$6),OR(Dashboard!$I$6="All",J81=Dashboard!$I$6),OR(Dashboard!$L$6="All",L81=Dashboard!$L$6)),G81,0)</f>
        <v>5</v>
      </c>
      <c r="P81">
        <f>IF(AND(OR(Dashboard!$C$6="All",F81=Dashboard!$C$6),OR(Dashboard!$F$6="All",I81=Dashboard!$F$6),OR(Dashboard!$I$6="All",J81=Dashboard!$I$6),OR(Dashboard!$L$6="All",L81=Dashboard!$L$6)),1,0)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Normal="100" workbookViewId="0"/>
  </sheetViews>
  <sheetFormatPr defaultColWidth="8.6640625" defaultRowHeight="14.4" x14ac:dyDescent="0.3"/>
  <sheetData>
    <row r="1" spans="1:5" x14ac:dyDescent="0.3">
      <c r="A1" t="s">
        <v>1</v>
      </c>
      <c r="B1" t="s">
        <v>220</v>
      </c>
      <c r="C1" t="s">
        <v>4</v>
      </c>
      <c r="D1" t="s">
        <v>5</v>
      </c>
      <c r="E1" t="s">
        <v>21</v>
      </c>
    </row>
    <row r="2" spans="1:5" x14ac:dyDescent="0.3">
      <c r="A2" t="s">
        <v>2</v>
      </c>
      <c r="B2" t="s">
        <v>2</v>
      </c>
      <c r="C2" t="s">
        <v>2</v>
      </c>
      <c r="D2" t="s">
        <v>2</v>
      </c>
      <c r="E2" t="s">
        <v>2</v>
      </c>
    </row>
    <row r="3" spans="1:5" x14ac:dyDescent="0.3">
      <c r="A3" t="s">
        <v>40</v>
      </c>
      <c r="B3" t="s">
        <v>66</v>
      </c>
      <c r="C3" t="s">
        <v>47</v>
      </c>
      <c r="D3">
        <v>2023</v>
      </c>
      <c r="E3" t="s">
        <v>221</v>
      </c>
    </row>
    <row r="4" spans="1:5" x14ac:dyDescent="0.3">
      <c r="A4" t="s">
        <v>65</v>
      </c>
      <c r="B4" t="s">
        <v>29</v>
      </c>
      <c r="C4" t="s">
        <v>36</v>
      </c>
      <c r="D4">
        <v>2024</v>
      </c>
      <c r="E4" t="s">
        <v>222</v>
      </c>
    </row>
    <row r="5" spans="1:5" x14ac:dyDescent="0.3">
      <c r="A5" t="s">
        <v>74</v>
      </c>
      <c r="B5" t="s">
        <v>55</v>
      </c>
      <c r="C5" t="s">
        <v>41</v>
      </c>
      <c r="D5">
        <v>2025</v>
      </c>
      <c r="E5" t="s">
        <v>223</v>
      </c>
    </row>
    <row r="6" spans="1:5" x14ac:dyDescent="0.3">
      <c r="A6" t="s">
        <v>28</v>
      </c>
      <c r="B6" t="s">
        <v>35</v>
      </c>
      <c r="C6" t="s">
        <v>50</v>
      </c>
      <c r="E6" t="s">
        <v>224</v>
      </c>
    </row>
    <row r="7" spans="1:5" x14ac:dyDescent="0.3">
      <c r="A7" t="s">
        <v>34</v>
      </c>
      <c r="C7" t="s">
        <v>30</v>
      </c>
      <c r="E7" t="s">
        <v>225</v>
      </c>
    </row>
    <row r="8" spans="1:5" x14ac:dyDescent="0.3">
      <c r="E8" t="s">
        <v>226</v>
      </c>
    </row>
    <row r="9" spans="1:5" x14ac:dyDescent="0.3">
      <c r="E9" t="s">
        <v>227</v>
      </c>
    </row>
    <row r="10" spans="1:5" x14ac:dyDescent="0.3">
      <c r="E10" t="s">
        <v>228</v>
      </c>
    </row>
    <row r="11" spans="1:5" x14ac:dyDescent="0.3">
      <c r="E11" t="s">
        <v>229</v>
      </c>
    </row>
    <row r="12" spans="1:5" x14ac:dyDescent="0.3">
      <c r="E12" t="s">
        <v>230</v>
      </c>
    </row>
    <row r="13" spans="1:5" x14ac:dyDescent="0.3">
      <c r="E13" t="s">
        <v>231</v>
      </c>
    </row>
    <row r="14" spans="1:5" x14ac:dyDescent="0.3">
      <c r="E14" t="s">
        <v>232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2" width="10" customWidth="1"/>
    <col min="3" max="3" width="8" customWidth="1"/>
    <col min="4" max="4" width="3" customWidth="1"/>
    <col min="5" max="5" width="15" customWidth="1"/>
    <col min="6" max="6" width="10" customWidth="1"/>
    <col min="7" max="7" width="3" customWidth="1"/>
    <col min="8" max="8" width="12" customWidth="1"/>
    <col min="9" max="9" width="8" customWidth="1"/>
    <col min="10" max="10" width="10" customWidth="1"/>
    <col min="11" max="11" width="3" customWidth="1"/>
    <col min="12" max="13" width="10" customWidth="1"/>
  </cols>
  <sheetData>
    <row r="1" spans="1:13" x14ac:dyDescent="0.3">
      <c r="A1" s="14" t="s">
        <v>1</v>
      </c>
      <c r="B1" s="14" t="s">
        <v>233</v>
      </c>
      <c r="C1" s="14" t="s">
        <v>234</v>
      </c>
      <c r="E1" s="14" t="s">
        <v>3</v>
      </c>
      <c r="F1" s="14" t="s">
        <v>233</v>
      </c>
      <c r="H1" s="14" t="s">
        <v>4</v>
      </c>
      <c r="I1" s="14" t="s">
        <v>235</v>
      </c>
      <c r="J1" s="14" t="s">
        <v>233</v>
      </c>
      <c r="L1" s="14" t="s">
        <v>21</v>
      </c>
      <c r="M1" s="14" t="s">
        <v>233</v>
      </c>
    </row>
    <row r="2" spans="1:13" x14ac:dyDescent="0.3">
      <c r="A2" t="s">
        <v>40</v>
      </c>
      <c r="B2" s="17">
        <f>SUMIF(Data!$F$2:$F$81,A2,Data!$N$2:$N$81)</f>
        <v>38357.11</v>
      </c>
      <c r="C2">
        <f>SUMIF(Data!$F$2:$F$81,A2,Data!$O$2:$O$81)</f>
        <v>69</v>
      </c>
      <c r="E2" t="s">
        <v>66</v>
      </c>
      <c r="F2" s="17">
        <f>SUMIF(Data!$I$2:$I$81,E2,Data!$N$2:$N$81)</f>
        <v>41208.07</v>
      </c>
      <c r="H2" t="s">
        <v>47</v>
      </c>
      <c r="I2">
        <f>SUMIF(Data!$J$2:$J$81,H2,Data!$P$2:$P$81)</f>
        <v>13</v>
      </c>
      <c r="J2" s="17">
        <f>SUMIF(Data!$J$2:$J$81,H2,Data!$N$2:$N$81)</f>
        <v>26677.56</v>
      </c>
      <c r="L2" t="s">
        <v>221</v>
      </c>
      <c r="M2" s="17">
        <f>SUMIF(Data!$M$2:$M$81,L2,Data!$N$2:$N$81)</f>
        <v>705.78</v>
      </c>
    </row>
    <row r="3" spans="1:13" x14ac:dyDescent="0.3">
      <c r="A3" t="s">
        <v>65</v>
      </c>
      <c r="B3" s="17">
        <f>SUMIF(Data!$F$2:$F$81,A3,Data!$N$2:$N$81)</f>
        <v>26859.919999999998</v>
      </c>
      <c r="C3">
        <f>SUMIF(Data!$F$2:$F$81,A3,Data!$O$2:$O$81)</f>
        <v>42</v>
      </c>
      <c r="E3" t="s">
        <v>29</v>
      </c>
      <c r="F3" s="17">
        <f>SUMIF(Data!$I$2:$I$81,E3,Data!$N$2:$N$81)</f>
        <v>62071.539999999994</v>
      </c>
      <c r="H3" t="s">
        <v>36</v>
      </c>
      <c r="I3">
        <f>SUMIF(Data!$J$2:$J$81,H3,Data!$P$2:$P$81)</f>
        <v>9</v>
      </c>
      <c r="J3" s="17">
        <f>SUMIF(Data!$J$2:$J$81,H3,Data!$N$2:$N$81)</f>
        <v>12009.990000000002</v>
      </c>
      <c r="L3" t="s">
        <v>222</v>
      </c>
      <c r="M3" s="17">
        <f>SUMIF(Data!$M$2:$M$81,L3,Data!$N$2:$N$81)</f>
        <v>1721.98</v>
      </c>
    </row>
    <row r="4" spans="1:13" x14ac:dyDescent="0.3">
      <c r="A4" t="s">
        <v>74</v>
      </c>
      <c r="B4" s="17">
        <f>SUMIF(Data!$F$2:$F$81,A4,Data!$N$2:$N$81)</f>
        <v>39313.939999999995</v>
      </c>
      <c r="C4">
        <f>SUMIF(Data!$F$2:$F$81,A4,Data!$O$2:$O$81)</f>
        <v>40</v>
      </c>
      <c r="E4" t="s">
        <v>55</v>
      </c>
      <c r="F4" s="17">
        <f>SUMIF(Data!$I$2:$I$81,E4,Data!$N$2:$N$81)</f>
        <v>19990.3</v>
      </c>
      <c r="H4" t="s">
        <v>41</v>
      </c>
      <c r="I4">
        <f>SUMIF(Data!$J$2:$J$81,H4,Data!$P$2:$P$81)</f>
        <v>17</v>
      </c>
      <c r="J4" s="17">
        <f>SUMIF(Data!$J$2:$J$81,H4,Data!$N$2:$N$81)</f>
        <v>41849.560000000005</v>
      </c>
      <c r="L4" t="s">
        <v>223</v>
      </c>
      <c r="M4" s="17">
        <f>SUMIF(Data!$M$2:$M$81,L4,Data!$N$2:$N$81)</f>
        <v>0</v>
      </c>
    </row>
    <row r="5" spans="1:13" x14ac:dyDescent="0.3">
      <c r="A5" t="s">
        <v>28</v>
      </c>
      <c r="B5" s="17">
        <f>SUMIF(Data!$F$2:$F$81,A5,Data!$N$2:$N$81)</f>
        <v>24429.710000000003</v>
      </c>
      <c r="C5">
        <f>SUMIF(Data!$F$2:$F$81,A5,Data!$O$2:$O$81)</f>
        <v>55</v>
      </c>
      <c r="E5" t="s">
        <v>35</v>
      </c>
      <c r="F5" s="17">
        <f>SUMIF(Data!$I$2:$I$81,E5,Data!$N$2:$N$81)</f>
        <v>25427.020000000008</v>
      </c>
      <c r="H5" t="s">
        <v>50</v>
      </c>
      <c r="I5">
        <f>SUMIF(Data!$J$2:$J$81,H5,Data!$P$2:$P$81)</f>
        <v>24</v>
      </c>
      <c r="J5" s="17">
        <f>SUMIF(Data!$J$2:$J$81,H5,Data!$N$2:$N$81)</f>
        <v>38477.220000000008</v>
      </c>
      <c r="L5" t="s">
        <v>224</v>
      </c>
      <c r="M5" s="17">
        <f>SUMIF(Data!$M$2:$M$81,L5,Data!$N$2:$N$81)</f>
        <v>0</v>
      </c>
    </row>
    <row r="6" spans="1:13" x14ac:dyDescent="0.3">
      <c r="A6" t="s">
        <v>34</v>
      </c>
      <c r="B6" s="17">
        <f>SUMIF(Data!$F$2:$F$81,A6,Data!$N$2:$N$81)</f>
        <v>19736.250000000004</v>
      </c>
      <c r="C6">
        <f>SUMIF(Data!$F$2:$F$81,A6,Data!$O$2:$O$81)</f>
        <v>42</v>
      </c>
      <c r="H6" t="s">
        <v>30</v>
      </c>
      <c r="I6">
        <f>SUMIF(Data!$J$2:$J$81,H6,Data!$P$2:$P$81)</f>
        <v>17</v>
      </c>
      <c r="J6" s="17">
        <f>SUMIF(Data!$J$2:$J$81,H6,Data!$N$2:$N$81)</f>
        <v>29682.599999999995</v>
      </c>
      <c r="L6" t="s">
        <v>225</v>
      </c>
      <c r="M6" s="17">
        <f>SUMIF(Data!$M$2:$M$81,L6,Data!$N$2:$N$81)</f>
        <v>0</v>
      </c>
    </row>
    <row r="7" spans="1:13" x14ac:dyDescent="0.3">
      <c r="L7" t="s">
        <v>226</v>
      </c>
      <c r="M7" s="17">
        <f>SUMIF(Data!$M$2:$M$81,L7,Data!$N$2:$N$81)</f>
        <v>0</v>
      </c>
    </row>
    <row r="8" spans="1:13" x14ac:dyDescent="0.3">
      <c r="L8" t="s">
        <v>227</v>
      </c>
      <c r="M8" s="17">
        <f>SUMIF(Data!$M$2:$M$81,L8,Data!$N$2:$N$81)</f>
        <v>0</v>
      </c>
    </row>
    <row r="9" spans="1:13" x14ac:dyDescent="0.3">
      <c r="L9" t="s">
        <v>228</v>
      </c>
      <c r="M9" s="17">
        <f>SUMIF(Data!$M$2:$M$81,L9,Data!$N$2:$N$81)</f>
        <v>16368.48</v>
      </c>
    </row>
    <row r="10" spans="1:13" x14ac:dyDescent="0.3">
      <c r="L10" t="s">
        <v>229</v>
      </c>
      <c r="M10" s="17">
        <f>SUMIF(Data!$M$2:$M$81,L10,Data!$N$2:$N$81)</f>
        <v>55377.11</v>
      </c>
    </row>
    <row r="11" spans="1:13" x14ac:dyDescent="0.3">
      <c r="L11" t="s">
        <v>230</v>
      </c>
      <c r="M11" s="17">
        <f>SUMIF(Data!$M$2:$M$81,L11,Data!$N$2:$N$81)</f>
        <v>29339.030000000002</v>
      </c>
    </row>
    <row r="12" spans="1:13" x14ac:dyDescent="0.3">
      <c r="L12" t="s">
        <v>231</v>
      </c>
      <c r="M12" s="17">
        <f>SUMIF(Data!$M$2:$M$81,L12,Data!$N$2:$N$81)</f>
        <v>24960.170000000002</v>
      </c>
    </row>
    <row r="13" spans="1:13" x14ac:dyDescent="0.3">
      <c r="L13" t="s">
        <v>232</v>
      </c>
      <c r="M13" s="17">
        <f>SUMIF(Data!$M$2:$M$81,L13,Data!$N$2:$N$81)</f>
        <v>20224.38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</vt:lpstr>
      <vt:lpstr>Lists</vt:lpstr>
      <vt:lpstr>PivotData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Atul kumar</cp:lastModifiedBy>
  <cp:revision>1</cp:revision>
  <dcterms:created xsi:type="dcterms:W3CDTF">2026-07-05T08:40:02Z</dcterms:created>
  <dcterms:modified xsi:type="dcterms:W3CDTF">2026-07-05T09:28:18Z</dcterms:modified>
  <dc:language>en-US</dc:language>
</cp:coreProperties>
</file>